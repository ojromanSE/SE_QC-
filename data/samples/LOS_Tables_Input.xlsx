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tinRangel\Desktop\martin\Macros\LOS Trend Plots\"/>
    </mc:Choice>
  </mc:AlternateContent>
  <xr:revisionPtr revIDLastSave="0" documentId="13_ncr:1_{81F4B3EF-7BF0-4021-BB8B-F0CD8295FB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_LOS_Analysis" sheetId="1" r:id="rId1"/>
    <sheet name="LOS_Data" sheetId="17" r:id="rId2"/>
    <sheet name="LOS_Paste" sheetId="2" r:id="rId3"/>
    <sheet name="KeyWords" sheetId="3" r:id="rId4"/>
    <sheet name="Diff_Sidefil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" l="1"/>
  <c r="R34" i="1"/>
  <c r="S34" i="1"/>
  <c r="S33" i="1"/>
  <c r="R33" i="1"/>
  <c r="Q33" i="1"/>
  <c r="S30" i="1"/>
  <c r="R30" i="1"/>
  <c r="Q30" i="1"/>
  <c r="Q26" i="1"/>
  <c r="R26" i="1"/>
  <c r="S26" i="1"/>
  <c r="Q27" i="1"/>
  <c r="R27" i="1"/>
  <c r="S27" i="1"/>
  <c r="S25" i="1"/>
  <c r="R25" i="1"/>
  <c r="Q25" i="1"/>
  <c r="S18" i="1"/>
  <c r="R18" i="1"/>
  <c r="Q18" i="1"/>
  <c r="S14" i="1"/>
  <c r="R14" i="1"/>
  <c r="Q14" i="1"/>
  <c r="S12" i="1"/>
  <c r="R12" i="1"/>
  <c r="Q12" i="1"/>
  <c r="C67" i="2"/>
  <c r="D67" i="2"/>
  <c r="E67" i="2"/>
  <c r="F67" i="2"/>
  <c r="G67" i="2"/>
  <c r="H67" i="2"/>
  <c r="I67" i="2"/>
  <c r="J67" i="2"/>
  <c r="K67" i="2"/>
  <c r="L67" i="2"/>
  <c r="M67" i="2"/>
  <c r="B67" i="2"/>
  <c r="C66" i="2"/>
  <c r="D66" i="2"/>
  <c r="E66" i="2"/>
  <c r="F66" i="2"/>
  <c r="G66" i="2"/>
  <c r="H66" i="2"/>
  <c r="I66" i="2"/>
  <c r="J66" i="2"/>
  <c r="K66" i="2"/>
  <c r="L66" i="2"/>
  <c r="M66" i="2"/>
  <c r="B66" i="2"/>
  <c r="C52" i="2"/>
  <c r="D52" i="2"/>
  <c r="E52" i="2"/>
  <c r="F52" i="2"/>
  <c r="G52" i="2"/>
  <c r="H52" i="2"/>
  <c r="I52" i="2"/>
  <c r="J52" i="2"/>
  <c r="K52" i="2"/>
  <c r="L52" i="2"/>
  <c r="M52" i="2"/>
  <c r="B52" i="2"/>
  <c r="S66" i="2"/>
  <c r="R51" i="2"/>
  <c r="Q51" i="2"/>
  <c r="P51" i="2"/>
  <c r="Q27" i="2"/>
  <c r="M27" i="2"/>
  <c r="L27" i="2"/>
  <c r="K27" i="2"/>
  <c r="J27" i="2"/>
  <c r="I27" i="2"/>
  <c r="H27" i="2"/>
  <c r="G27" i="2"/>
  <c r="F27" i="2"/>
  <c r="E27" i="2"/>
  <c r="D27" i="2"/>
  <c r="C27" i="2"/>
  <c r="B27" i="2"/>
  <c r="M25" i="2"/>
  <c r="L25" i="2"/>
  <c r="K25" i="2"/>
  <c r="J25" i="2"/>
  <c r="M20" i="2"/>
  <c r="L20" i="2"/>
  <c r="K20" i="2"/>
  <c r="J20" i="2"/>
  <c r="I20" i="2"/>
  <c r="H20" i="2"/>
  <c r="G20" i="2"/>
  <c r="F20" i="2"/>
  <c r="E20" i="2"/>
  <c r="D20" i="2"/>
  <c r="C20" i="2"/>
  <c r="B20" i="2"/>
  <c r="M18" i="2"/>
  <c r="L18" i="2"/>
  <c r="K18" i="2"/>
  <c r="J18" i="2"/>
  <c r="I18" i="2"/>
  <c r="H18" i="2"/>
  <c r="G18" i="2"/>
  <c r="F18" i="2"/>
  <c r="E18" i="2"/>
  <c r="D18" i="2"/>
  <c r="C18" i="2"/>
  <c r="B18" i="2"/>
  <c r="R5" i="2"/>
  <c r="Q5" i="2"/>
  <c r="P5" i="2"/>
  <c r="R4" i="2"/>
  <c r="Q4" i="2"/>
  <c r="P4" i="2"/>
  <c r="R3" i="2"/>
  <c r="Q3" i="2"/>
  <c r="P3" i="2"/>
  <c r="N18" i="1"/>
  <c r="M18" i="1"/>
  <c r="L18" i="1"/>
  <c r="K18" i="1"/>
  <c r="J18" i="1"/>
  <c r="I18" i="1"/>
  <c r="H18" i="1"/>
  <c r="G18" i="1"/>
  <c r="F18" i="1"/>
  <c r="E18" i="1"/>
  <c r="D18" i="1"/>
  <c r="C18" i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D8" i="1"/>
  <c r="E8" i="1"/>
  <c r="F8" i="1"/>
  <c r="G8" i="1"/>
  <c r="H8" i="1"/>
  <c r="I8" i="1"/>
  <c r="J8" i="1"/>
  <c r="K8" i="1"/>
  <c r="L8" i="1"/>
  <c r="M8" i="1"/>
  <c r="N8" i="1"/>
  <c r="C8" i="1"/>
  <c r="D27" i="1" l="1"/>
  <c r="E27" i="1"/>
  <c r="F27" i="1"/>
  <c r="G27" i="1"/>
  <c r="H27" i="1"/>
  <c r="I27" i="1"/>
  <c r="J27" i="1"/>
  <c r="K27" i="1"/>
  <c r="L27" i="1"/>
  <c r="M27" i="1"/>
  <c r="N27" i="1"/>
  <c r="C27" i="1"/>
  <c r="D25" i="1"/>
  <c r="E25" i="1"/>
  <c r="F25" i="1"/>
  <c r="G25" i="1"/>
  <c r="H25" i="1"/>
  <c r="I25" i="1"/>
  <c r="J25" i="1"/>
  <c r="K25" i="1"/>
  <c r="L25" i="1"/>
  <c r="M25" i="1"/>
  <c r="N25" i="1"/>
  <c r="C25" i="1"/>
  <c r="Q66" i="2"/>
  <c r="R53" i="2"/>
  <c r="R54" i="2" s="1"/>
  <c r="Q53" i="2"/>
  <c r="Q54" i="2" s="1"/>
  <c r="R27" i="2"/>
  <c r="P27" i="2"/>
  <c r="R25" i="2"/>
  <c r="I25" i="2"/>
  <c r="H25" i="2"/>
  <c r="Q25" i="2" s="1"/>
  <c r="G25" i="2"/>
  <c r="F25" i="2"/>
  <c r="E25" i="2"/>
  <c r="D25" i="2"/>
  <c r="C25" i="2"/>
  <c r="B25" i="2"/>
  <c r="P25" i="2" s="1"/>
  <c r="R66" i="2"/>
  <c r="P66" i="2"/>
  <c r="P53" i="2"/>
  <c r="P54" i="2" s="1"/>
</calcChain>
</file>

<file path=xl/sharedStrings.xml><?xml version="1.0" encoding="utf-8"?>
<sst xmlns="http://schemas.openxmlformats.org/spreadsheetml/2006/main" count="1171" uniqueCount="114">
  <si>
    <t>Realized Price Oil $/BBL</t>
  </si>
  <si>
    <t>Realized Price Gas $/MCF</t>
  </si>
  <si>
    <t>NGL</t>
  </si>
  <si>
    <t>WTI</t>
  </si>
  <si>
    <t>HH</t>
  </si>
  <si>
    <t>Input</t>
  </si>
  <si>
    <t>FM</t>
  </si>
  <si>
    <t>Oil Price</t>
  </si>
  <si>
    <t>Gas Price</t>
  </si>
  <si>
    <t>Trucking</t>
  </si>
  <si>
    <t xml:space="preserve">GTC </t>
  </si>
  <si>
    <t>Gathering Fees</t>
  </si>
  <si>
    <t>Processing/Other expnese</t>
  </si>
  <si>
    <t>Meter fees</t>
  </si>
  <si>
    <t>First Period LOS</t>
  </si>
  <si>
    <t>via API/Python</t>
  </si>
  <si>
    <t>via VBA macro</t>
  </si>
  <si>
    <t>Template Calc</t>
  </si>
  <si>
    <t>LTM</t>
  </si>
  <si>
    <t>L6M</t>
  </si>
  <si>
    <t>L3M</t>
  </si>
  <si>
    <t>PRICING</t>
  </si>
  <si>
    <t>Realized Price NGL $/BBL</t>
  </si>
  <si>
    <t>Date</t>
  </si>
  <si>
    <t>Category</t>
  </si>
  <si>
    <t>Line Item</t>
  </si>
  <si>
    <t>Volumes Before</t>
  </si>
  <si>
    <t>PHD FM</t>
  </si>
  <si>
    <t>Volumes After</t>
  </si>
  <si>
    <t>Oil Volume (BBLs)</t>
  </si>
  <si>
    <t>Oil, Mbbl</t>
  </si>
  <si>
    <t>Gas Volume (MCF)</t>
  </si>
  <si>
    <t>Gas, MMcf</t>
  </si>
  <si>
    <t>NGL Volume (BBLs)</t>
  </si>
  <si>
    <t>NGL, Mbbl</t>
  </si>
  <si>
    <t>Total (Boe)</t>
  </si>
  <si>
    <t>Oil Revenue</t>
  </si>
  <si>
    <t>Gas Revenue</t>
  </si>
  <si>
    <t>NGL Revenue</t>
  </si>
  <si>
    <t>Sulfur Revenue</t>
  </si>
  <si>
    <t>Midstream Revenue</t>
  </si>
  <si>
    <t>Service Revenue</t>
  </si>
  <si>
    <t>Other Revenue</t>
  </si>
  <si>
    <t>Total Revenue</t>
  </si>
  <si>
    <t>Oil Realized Price $/bbl</t>
  </si>
  <si>
    <t>Gas Realized Price, $/Mcf</t>
  </si>
  <si>
    <t>NGL Realized Price, $/bbl</t>
  </si>
  <si>
    <t>Diffs Before</t>
  </si>
  <si>
    <t>Diffs After</t>
  </si>
  <si>
    <t>Oil Differential</t>
  </si>
  <si>
    <t>Gas Differential</t>
  </si>
  <si>
    <t>NGL Differential</t>
  </si>
  <si>
    <t>Midstream Expense</t>
  </si>
  <si>
    <t>Fuel, Electricity, &amp; Utilities</t>
  </si>
  <si>
    <t>Workover</t>
  </si>
  <si>
    <t>CO2</t>
  </si>
  <si>
    <t>Labor</t>
  </si>
  <si>
    <t>Chemicals</t>
  </si>
  <si>
    <t>Materials &amp; Supplies</t>
  </si>
  <si>
    <t>Services</t>
  </si>
  <si>
    <t>EHS, Land, Legal, &amp; Regulatory</t>
  </si>
  <si>
    <t>Repairs &amp; Maintenance</t>
  </si>
  <si>
    <t>Compression</t>
  </si>
  <si>
    <t>Insurance</t>
  </si>
  <si>
    <t>SWD</t>
  </si>
  <si>
    <t>Facilities</t>
  </si>
  <si>
    <t>Rental Equipment</t>
  </si>
  <si>
    <t>Vehicles</t>
  </si>
  <si>
    <t>Locations</t>
  </si>
  <si>
    <t>Field Office</t>
  </si>
  <si>
    <t>Transportation</t>
  </si>
  <si>
    <t>Accrued Fixed LOE</t>
  </si>
  <si>
    <t>Other</t>
  </si>
  <si>
    <t>Expenses Before</t>
  </si>
  <si>
    <t>Expenses After</t>
  </si>
  <si>
    <t>Total Operating Expenses</t>
  </si>
  <si>
    <t>LOS, M$</t>
  </si>
  <si>
    <t>PHD FM, M$</t>
  </si>
  <si>
    <t>Oil Deducts</t>
  </si>
  <si>
    <t>Diff, M$</t>
  </si>
  <si>
    <t>Gas Deducts</t>
  </si>
  <si>
    <t>Diff, %</t>
  </si>
  <si>
    <t>NGL Deducts</t>
  </si>
  <si>
    <t>Other Transportation</t>
  </si>
  <si>
    <t>Total Deducts</t>
  </si>
  <si>
    <t>Oil Severance Taxes</t>
  </si>
  <si>
    <t>Gas Severance Taxes</t>
  </si>
  <si>
    <t>NGL Severance Taxes</t>
  </si>
  <si>
    <t>Sulfur Severance Taxes</t>
  </si>
  <si>
    <t>Other Severance Taxes</t>
  </si>
  <si>
    <t>Ad Valorem Taxes</t>
  </si>
  <si>
    <t>Total Production Taxes</t>
  </si>
  <si>
    <t>Taxes Before</t>
  </si>
  <si>
    <t>Taxes After</t>
  </si>
  <si>
    <t>As % of Net Rev</t>
  </si>
  <si>
    <t>LOE</t>
  </si>
  <si>
    <t>Total OpEx</t>
  </si>
  <si>
    <t>Prod Tax/Revenue</t>
  </si>
  <si>
    <t>adval</t>
  </si>
  <si>
    <t>severance</t>
  </si>
  <si>
    <t>AdVal/Revenue</t>
  </si>
  <si>
    <t>PRODUCTION</t>
  </si>
  <si>
    <t>Oil Revenue ($)</t>
  </si>
  <si>
    <t>Gas Revenue ($)</t>
  </si>
  <si>
    <t>NGL Revenue ($)</t>
  </si>
  <si>
    <t>DIFFERENTIALS</t>
  </si>
  <si>
    <t>Oil Diff</t>
  </si>
  <si>
    <t>Gas Diff</t>
  </si>
  <si>
    <t>NGL Diffs</t>
  </si>
  <si>
    <t>LOS Value</t>
  </si>
  <si>
    <t>TAXES</t>
  </si>
  <si>
    <t>Data</t>
  </si>
  <si>
    <t>LOS Historical</t>
  </si>
  <si>
    <t>LOS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</si>
</sst>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_(&quot;$&quot;* #,##0.0_);_(&quot;$&quot;* \(#,##0.0\);_(&quot;$&quot;* &quot;-&quot;??_);_(@_)"/>
    <numFmt numFmtId="168" formatCode="_(&quot;$&quot;* #,##0.0000_);_(&quot;$&quot;* \(#,##0.0000\);_(&quot;$&quot;* &quot;-&quot;??_);_(@_)"/>
    <numFmt numFmtId="169" formatCode="yyyy\-mm"/>
    <numFmt numFmtId="170" formatCode="_(* #,##0.00_);_(* \(#,##0.00\);_(* \-??_);_(@_)"/>
    <numFmt numFmtId="171" formatCode="_(* #,##0_);_(* \(#,##0\);_(* \-??_);_(@_)"/>
    <numFmt numFmtId="173" formatCode="_(* #,##0.0_);_(* \(#,##0.0\);_(* &quot;-&quot;??_);_(@_)"/>
    <numFmt numFmtId="174" formatCode="_(* #,##0.000_);_(* \(#,##0.0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Dashed">
        <color rgb="FFD8D8D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60">
    <xf numFmtId="0" fontId="0" fillId="0" borderId="0" xfId="0"/>
    <xf numFmtId="164" fontId="4" fillId="0" borderId="0" xfId="1" applyNumberFormat="1" applyFont="1" applyFill="1"/>
    <xf numFmtId="164" fontId="4" fillId="0" borderId="6" xfId="1" applyNumberFormat="1" applyFont="1" applyFill="1" applyBorder="1"/>
    <xf numFmtId="43" fontId="4" fillId="0" borderId="0" xfId="1" applyFont="1" applyFill="1"/>
    <xf numFmtId="164" fontId="2" fillId="0" borderId="0" xfId="1" applyNumberFormat="1" applyFont="1" applyFill="1"/>
    <xf numFmtId="165" fontId="4" fillId="0" borderId="11" xfId="2" applyNumberFormat="1" applyFont="1" applyFill="1" applyBorder="1"/>
    <xf numFmtId="164" fontId="3" fillId="0" borderId="0" xfId="1" applyNumberFormat="1" applyFont="1" applyFill="1" applyBorder="1"/>
    <xf numFmtId="44" fontId="4" fillId="0" borderId="7" xfId="2" applyFont="1" applyFill="1" applyBorder="1"/>
    <xf numFmtId="165" fontId="4" fillId="0" borderId="0" xfId="2" applyNumberFormat="1" applyFont="1" applyFill="1" applyBorder="1"/>
    <xf numFmtId="10" fontId="4" fillId="0" borderId="0" xfId="3" applyNumberFormat="1" applyFont="1" applyFill="1" applyBorder="1"/>
    <xf numFmtId="167" fontId="4" fillId="0" borderId="0" xfId="2" applyNumberFormat="1" applyFont="1" applyFill="1" applyBorder="1"/>
    <xf numFmtId="43" fontId="2" fillId="0" borderId="0" xfId="1" applyFont="1" applyFill="1" applyBorder="1"/>
    <xf numFmtId="164" fontId="4" fillId="0" borderId="0" xfId="1" applyNumberFormat="1" applyFont="1" applyFill="1" applyBorder="1"/>
    <xf numFmtId="44" fontId="3" fillId="0" borderId="8" xfId="2" applyFont="1" applyFill="1" applyBorder="1"/>
    <xf numFmtId="44" fontId="3" fillId="0" borderId="2" xfId="2" applyFont="1" applyFill="1" applyBorder="1"/>
    <xf numFmtId="44" fontId="3" fillId="0" borderId="3" xfId="2" applyFont="1" applyFill="1" applyBorder="1"/>
    <xf numFmtId="43" fontId="4" fillId="0" borderId="0" xfId="1" applyFont="1" applyFill="1" applyBorder="1"/>
    <xf numFmtId="164" fontId="2" fillId="0" borderId="0" xfId="1" applyNumberFormat="1" applyFont="1" applyFill="1" applyBorder="1"/>
    <xf numFmtId="165" fontId="4" fillId="0" borderId="4" xfId="2" applyNumberFormat="1" applyFont="1" applyFill="1" applyBorder="1"/>
    <xf numFmtId="165" fontId="4" fillId="0" borderId="14" xfId="2" applyNumberFormat="1" applyFont="1" applyFill="1" applyBorder="1"/>
    <xf numFmtId="14" fontId="7" fillId="0" borderId="0" xfId="0" applyNumberFormat="1" applyFon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7" fillId="0" borderId="0" xfId="0" applyFont="1"/>
    <xf numFmtId="0" fontId="7" fillId="0" borderId="16" xfId="0" applyFont="1" applyBorder="1"/>
    <xf numFmtId="0" fontId="7" fillId="0" borderId="16" xfId="0" applyFont="1" applyBorder="1" applyAlignment="1">
      <alignment horizontal="right"/>
    </xf>
    <xf numFmtId="43" fontId="1" fillId="0" borderId="0" xfId="1"/>
    <xf numFmtId="43" fontId="1" fillId="0" borderId="0" xfId="1" applyAlignment="1">
      <alignment horizontal="righ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9" fontId="1" fillId="0" borderId="0" xfId="3" applyAlignment="1">
      <alignment horizontal="right"/>
    </xf>
    <xf numFmtId="171" fontId="1" fillId="0" borderId="0" xfId="1" applyNumberFormat="1" applyAlignment="1">
      <alignment horizontal="right"/>
    </xf>
    <xf numFmtId="171" fontId="0" fillId="0" borderId="0" xfId="0" applyNumberFormat="1" applyAlignment="1">
      <alignment horizontal="right"/>
    </xf>
    <xf numFmtId="10" fontId="1" fillId="0" borderId="0" xfId="3" applyNumberFormat="1" applyAlignment="1">
      <alignment horizontal="right"/>
    </xf>
    <xf numFmtId="10" fontId="1" fillId="0" borderId="0" xfId="3" applyNumberFormat="1"/>
    <xf numFmtId="10" fontId="2" fillId="0" borderId="12" xfId="3" applyNumberFormat="1" applyFont="1" applyFill="1" applyBorder="1"/>
    <xf numFmtId="10" fontId="2" fillId="0" borderId="4" xfId="3" applyNumberFormat="1" applyFont="1" applyFill="1" applyBorder="1"/>
    <xf numFmtId="0" fontId="4" fillId="0" borderId="0" xfId="0" applyFont="1" applyFill="1"/>
    <xf numFmtId="0" fontId="2" fillId="0" borderId="0" xfId="4" applyFont="1" applyFill="1"/>
    <xf numFmtId="0" fontId="3" fillId="0" borderId="6" xfId="4" applyFont="1" applyFill="1" applyBorder="1"/>
    <xf numFmtId="0" fontId="3" fillId="0" borderId="11" xfId="4" applyFont="1" applyFill="1" applyBorder="1" applyAlignment="1">
      <alignment wrapText="1"/>
    </xf>
    <xf numFmtId="0" fontId="5" fillId="0" borderId="0" xfId="0" applyFont="1" applyFill="1"/>
    <xf numFmtId="0" fontId="3" fillId="0" borderId="1" xfId="4" applyFont="1" applyFill="1" applyBorder="1"/>
    <xf numFmtId="0" fontId="3" fillId="0" borderId="0" xfId="4" applyFont="1" applyFill="1"/>
    <xf numFmtId="14" fontId="2" fillId="0" borderId="0" xfId="4" applyNumberFormat="1" applyFont="1" applyFill="1"/>
    <xf numFmtId="0" fontId="2" fillId="0" borderId="6" xfId="4" applyFont="1" applyFill="1" applyBorder="1"/>
    <xf numFmtId="164" fontId="2" fillId="0" borderId="12" xfId="1" applyNumberFormat="1" applyFont="1" applyFill="1" applyBorder="1"/>
    <xf numFmtId="164" fontId="4" fillId="0" borderId="12" xfId="1" applyNumberFormat="1" applyFont="1" applyFill="1" applyBorder="1"/>
    <xf numFmtId="164" fontId="4" fillId="0" borderId="4" xfId="1" applyNumberFormat="1" applyFont="1" applyFill="1" applyBorder="1"/>
    <xf numFmtId="0" fontId="2" fillId="0" borderId="11" xfId="4" applyFont="1" applyFill="1" applyBorder="1"/>
    <xf numFmtId="164" fontId="2" fillId="0" borderId="10" xfId="1" applyNumberFormat="1" applyFont="1" applyFill="1" applyBorder="1"/>
    <xf numFmtId="164" fontId="4" fillId="0" borderId="10" xfId="1" applyNumberFormat="1" applyFont="1" applyFill="1" applyBorder="1"/>
    <xf numFmtId="164" fontId="4" fillId="0" borderId="14" xfId="1" applyNumberFormat="1" applyFont="1" applyFill="1" applyBorder="1"/>
    <xf numFmtId="164" fontId="5" fillId="0" borderId="0" xfId="0" applyNumberFormat="1" applyFont="1" applyFill="1"/>
    <xf numFmtId="164" fontId="4" fillId="0" borderId="0" xfId="0" applyNumberFormat="1" applyFont="1" applyFill="1"/>
    <xf numFmtId="43" fontId="2" fillId="0" borderId="12" xfId="1" applyFont="1" applyFill="1" applyBorder="1"/>
    <xf numFmtId="43" fontId="4" fillId="0" borderId="12" xfId="1" applyFont="1" applyFill="1" applyBorder="1"/>
    <xf numFmtId="43" fontId="4" fillId="0" borderId="4" xfId="1" applyFont="1" applyFill="1" applyBorder="1"/>
    <xf numFmtId="0" fontId="3" fillId="0" borderId="6" xfId="0" applyFont="1" applyFill="1" applyBorder="1"/>
    <xf numFmtId="164" fontId="4" fillId="0" borderId="0" xfId="0" applyNumberFormat="1" applyFont="1" applyFill="1" applyBorder="1"/>
    <xf numFmtId="164" fontId="4" fillId="0" borderId="15" xfId="0" applyNumberFormat="1" applyFont="1" applyFill="1" applyBorder="1"/>
    <xf numFmtId="0" fontId="2" fillId="0" borderId="7" xfId="4" applyFont="1" applyFill="1" applyBorder="1"/>
    <xf numFmtId="0" fontId="4" fillId="0" borderId="7" xfId="0" applyFont="1" applyFill="1" applyBorder="1"/>
    <xf numFmtId="164" fontId="4" fillId="0" borderId="10" xfId="0" applyNumberFormat="1" applyFont="1" applyFill="1" applyBorder="1"/>
    <xf numFmtId="164" fontId="4" fillId="0" borderId="14" xfId="0" applyNumberFormat="1" applyFont="1" applyFill="1" applyBorder="1"/>
    <xf numFmtId="0" fontId="4" fillId="0" borderId="11" xfId="0" applyFont="1" applyFill="1" applyBorder="1"/>
    <xf numFmtId="0" fontId="4" fillId="0" borderId="0" xfId="0" applyFont="1" applyFill="1" applyBorder="1"/>
    <xf numFmtId="164" fontId="2" fillId="0" borderId="10" xfId="4" applyNumberFormat="1" applyFont="1" applyFill="1" applyBorder="1"/>
    <xf numFmtId="0" fontId="3" fillId="0" borderId="1" xfId="0" applyFont="1" applyFill="1" applyBorder="1"/>
    <xf numFmtId="164" fontId="4" fillId="0" borderId="9" xfId="0" applyNumberFormat="1" applyFont="1" applyFill="1" applyBorder="1"/>
    <xf numFmtId="0" fontId="5" fillId="0" borderId="6" xfId="0" applyFont="1" applyFill="1" applyBorder="1"/>
    <xf numFmtId="0" fontId="4" fillId="0" borderId="12" xfId="0" applyFont="1" applyFill="1" applyBorder="1"/>
    <xf numFmtId="0" fontId="2" fillId="0" borderId="12" xfId="1" applyNumberFormat="1" applyFont="1" applyFill="1" applyBorder="1"/>
    <xf numFmtId="0" fontId="2" fillId="0" borderId="4" xfId="1" applyNumberFormat="1" applyFont="1" applyFill="1" applyBorder="1"/>
    <xf numFmtId="0" fontId="5" fillId="0" borderId="11" xfId="0" applyFont="1" applyFill="1" applyBorder="1"/>
    <xf numFmtId="0" fontId="4" fillId="0" borderId="10" xfId="0" applyFont="1" applyFill="1" applyBorder="1"/>
    <xf numFmtId="0" fontId="2" fillId="0" borderId="10" xfId="1" applyNumberFormat="1" applyFont="1" applyFill="1" applyBorder="1"/>
    <xf numFmtId="0" fontId="2" fillId="0" borderId="14" xfId="1" applyNumberFormat="1" applyFont="1" applyFill="1" applyBorder="1"/>
    <xf numFmtId="44" fontId="2" fillId="0" borderId="13" xfId="2" applyFont="1" applyFill="1" applyBorder="1"/>
    <xf numFmtId="44" fontId="2" fillId="0" borderId="12" xfId="2" applyFont="1" applyFill="1" applyBorder="1"/>
    <xf numFmtId="44" fontId="2" fillId="0" borderId="4" xfId="2" applyFont="1" applyFill="1" applyBorder="1"/>
    <xf numFmtId="174" fontId="4" fillId="0" borderId="5" xfId="1" applyNumberFormat="1" applyFont="1" applyFill="1" applyBorder="1"/>
    <xf numFmtId="174" fontId="4" fillId="0" borderId="0" xfId="1" applyNumberFormat="1" applyFont="1" applyFill="1" applyBorder="1"/>
    <xf numFmtId="174" fontId="4" fillId="0" borderId="15" xfId="1" applyNumberFormat="1" applyFont="1" applyFill="1" applyBorder="1"/>
    <xf numFmtId="44" fontId="4" fillId="0" borderId="6" xfId="0" applyNumberFormat="1" applyFont="1" applyFill="1" applyBorder="1"/>
    <xf numFmtId="0" fontId="3" fillId="0" borderId="7" xfId="4" applyFont="1" applyFill="1" applyBorder="1"/>
    <xf numFmtId="44" fontId="2" fillId="0" borderId="5" xfId="2" applyFont="1" applyFill="1" applyBorder="1"/>
    <xf numFmtId="44" fontId="2" fillId="0" borderId="0" xfId="2" applyFont="1" applyFill="1"/>
    <xf numFmtId="44" fontId="2" fillId="0" borderId="0" xfId="2" applyFont="1" applyFill="1" applyBorder="1"/>
    <xf numFmtId="44" fontId="2" fillId="0" borderId="15" xfId="2" applyFont="1" applyFill="1" applyBorder="1"/>
    <xf numFmtId="0" fontId="3" fillId="0" borderId="11" xfId="4" applyFont="1" applyFill="1" applyBorder="1"/>
    <xf numFmtId="10" fontId="2" fillId="0" borderId="9" xfId="3" applyNumberFormat="1" applyFont="1" applyFill="1" applyBorder="1"/>
    <xf numFmtId="10" fontId="2" fillId="0" borderId="10" xfId="3" applyNumberFormat="1" applyFont="1" applyFill="1" applyBorder="1"/>
    <xf numFmtId="10" fontId="2" fillId="0" borderId="14" xfId="3" applyNumberFormat="1" applyFont="1" applyFill="1" applyBorder="1"/>
    <xf numFmtId="10" fontId="4" fillId="0" borderId="9" xfId="3" applyNumberFormat="1" applyFont="1" applyFill="1" applyBorder="1"/>
    <xf numFmtId="10" fontId="4" fillId="0" borderId="10" xfId="3" applyNumberFormat="1" applyFont="1" applyFill="1" applyBorder="1"/>
    <xf numFmtId="10" fontId="4" fillId="0" borderId="14" xfId="3" applyNumberFormat="1" applyFont="1" applyFill="1" applyBorder="1"/>
    <xf numFmtId="166" fontId="4" fillId="0" borderId="11" xfId="0" applyNumberFormat="1" applyFont="1" applyFill="1" applyBorder="1"/>
    <xf numFmtId="41" fontId="2" fillId="0" borderId="0" xfId="4" applyNumberFormat="1" applyFont="1" applyFill="1"/>
    <xf numFmtId="0" fontId="5" fillId="0" borderId="0" xfId="0" applyFont="1" applyFill="1" applyBorder="1"/>
    <xf numFmtId="173" fontId="2" fillId="0" borderId="2" xfId="4" applyNumberFormat="1" applyFont="1" applyFill="1" applyBorder="1"/>
    <xf numFmtId="173" fontId="2" fillId="0" borderId="8" xfId="4" applyNumberFormat="1" applyFont="1" applyFill="1" applyBorder="1"/>
    <xf numFmtId="173" fontId="2" fillId="0" borderId="8" xfId="3" applyNumberFormat="1" applyFont="1" applyFill="1" applyBorder="1"/>
    <xf numFmtId="173" fontId="2" fillId="0" borderId="3" xfId="3" applyNumberFormat="1" applyFont="1" applyFill="1" applyBorder="1"/>
    <xf numFmtId="0" fontId="4" fillId="0" borderId="9" xfId="0" applyFont="1" applyFill="1" applyBorder="1"/>
    <xf numFmtId="173" fontId="4" fillId="0" borderId="9" xfId="0" applyNumberFormat="1" applyFont="1" applyFill="1" applyBorder="1"/>
    <xf numFmtId="173" fontId="4" fillId="0" borderId="10" xfId="0" applyNumberFormat="1" applyFont="1" applyFill="1" applyBorder="1"/>
    <xf numFmtId="0" fontId="3" fillId="0" borderId="4" xfId="0" applyFont="1" applyFill="1" applyBorder="1"/>
    <xf numFmtId="10" fontId="2" fillId="0" borderId="13" xfId="4" applyNumberFormat="1" applyFont="1" applyFill="1" applyBorder="1"/>
    <xf numFmtId="10" fontId="2" fillId="0" borderId="12" xfId="4" applyNumberFormat="1" applyFont="1" applyFill="1" applyBorder="1"/>
    <xf numFmtId="10" fontId="4" fillId="0" borderId="13" xfId="3" applyNumberFormat="1" applyFont="1" applyFill="1" applyBorder="1"/>
    <xf numFmtId="10" fontId="4" fillId="0" borderId="12" xfId="3" applyNumberFormat="1" applyFont="1" applyFill="1" applyBorder="1"/>
    <xf numFmtId="10" fontId="4" fillId="0" borderId="4" xfId="3" applyNumberFormat="1" applyFont="1" applyFill="1" applyBorder="1"/>
    <xf numFmtId="10" fontId="4" fillId="0" borderId="9" xfId="0" applyNumberFormat="1" applyFont="1" applyFill="1" applyBorder="1"/>
    <xf numFmtId="10" fontId="4" fillId="0" borderId="10" xfId="0" applyNumberFormat="1" applyFont="1" applyFill="1" applyBorder="1"/>
    <xf numFmtId="10" fontId="4" fillId="0" borderId="14" xfId="0" applyNumberFormat="1" applyFont="1" applyFill="1" applyBorder="1"/>
    <xf numFmtId="0" fontId="4" fillId="0" borderId="1" xfId="0" applyFont="1" applyFill="1" applyBorder="1"/>
    <xf numFmtId="0" fontId="2" fillId="0" borderId="1" xfId="4" applyFont="1" applyFill="1" applyBorder="1"/>
    <xf numFmtId="0" fontId="2" fillId="0" borderId="2" xfId="4" applyFont="1" applyFill="1" applyBorder="1"/>
    <xf numFmtId="41" fontId="2" fillId="0" borderId="2" xfId="4" applyNumberFormat="1" applyFont="1" applyFill="1" applyBorder="1"/>
    <xf numFmtId="41" fontId="2" fillId="0" borderId="8" xfId="4" applyNumberFormat="1" applyFont="1" applyFill="1" applyBorder="1"/>
    <xf numFmtId="41" fontId="2" fillId="0" borderId="3" xfId="4" applyNumberFormat="1" applyFont="1" applyFill="1" applyBorder="1"/>
    <xf numFmtId="0" fontId="2" fillId="0" borderId="4" xfId="4" applyFont="1" applyFill="1" applyBorder="1"/>
    <xf numFmtId="0" fontId="2" fillId="0" borderId="12" xfId="4" applyFont="1" applyFill="1" applyBorder="1"/>
    <xf numFmtId="41" fontId="2" fillId="0" borderId="13" xfId="4" applyNumberFormat="1" applyFont="1" applyFill="1" applyBorder="1"/>
    <xf numFmtId="41" fontId="2" fillId="0" borderId="12" xfId="4" applyNumberFormat="1" applyFont="1" applyFill="1" applyBorder="1"/>
    <xf numFmtId="41" fontId="2" fillId="0" borderId="4" xfId="4" applyNumberFormat="1" applyFont="1" applyFill="1" applyBorder="1"/>
    <xf numFmtId="0" fontId="5" fillId="0" borderId="7" xfId="0" applyFont="1" applyFill="1" applyBorder="1"/>
    <xf numFmtId="0" fontId="2" fillId="0" borderId="15" xfId="4" applyFont="1" applyFill="1" applyBorder="1"/>
    <xf numFmtId="41" fontId="2" fillId="0" borderId="5" xfId="4" applyNumberFormat="1" applyFont="1" applyFill="1" applyBorder="1"/>
    <xf numFmtId="41" fontId="2" fillId="0" borderId="15" xfId="4" applyNumberFormat="1" applyFont="1" applyFill="1" applyBorder="1"/>
    <xf numFmtId="0" fontId="3" fillId="0" borderId="0" xfId="0" applyFont="1" applyFill="1"/>
    <xf numFmtId="0" fontId="2" fillId="0" borderId="14" xfId="4" applyFont="1" applyFill="1" applyBorder="1"/>
    <xf numFmtId="0" fontId="2" fillId="0" borderId="10" xfId="4" applyFont="1" applyFill="1" applyBorder="1"/>
    <xf numFmtId="41" fontId="2" fillId="0" borderId="9" xfId="4" applyNumberFormat="1" applyFont="1" applyFill="1" applyBorder="1"/>
    <xf numFmtId="41" fontId="2" fillId="0" borderId="10" xfId="4" applyNumberFormat="1" applyFont="1" applyFill="1" applyBorder="1"/>
    <xf numFmtId="41" fontId="2" fillId="0" borderId="14" xfId="4" applyNumberFormat="1" applyFont="1" applyFill="1" applyBorder="1"/>
    <xf numFmtId="165" fontId="4" fillId="0" borderId="0" xfId="0" applyNumberFormat="1" applyFont="1" applyFill="1"/>
    <xf numFmtId="168" fontId="4" fillId="0" borderId="0" xfId="0" applyNumberFormat="1" applyFont="1" applyFill="1"/>
    <xf numFmtId="169" fontId="3" fillId="2" borderId="2" xfId="4" applyNumberFormat="1" applyFont="1" applyFill="1" applyBorder="1"/>
    <xf numFmtId="169" fontId="2" fillId="2" borderId="2" xfId="4" applyNumberFormat="1" applyFont="1" applyFill="1" applyBorder="1"/>
    <xf numFmtId="169" fontId="2" fillId="2" borderId="8" xfId="4" applyNumberFormat="1" applyFont="1" applyFill="1" applyBorder="1"/>
    <xf numFmtId="169" fontId="2" fillId="2" borderId="8" xfId="4" applyNumberFormat="1" applyFont="1" applyFill="1" applyBorder="1" applyAlignment="1">
      <alignment horizontal="center"/>
    </xf>
    <xf numFmtId="169" fontId="2" fillId="2" borderId="3" xfId="4" applyNumberFormat="1" applyFont="1" applyFill="1" applyBorder="1" applyAlignment="1">
      <alignment horizontal="center"/>
    </xf>
    <xf numFmtId="0" fontId="3" fillId="3" borderId="1" xfId="4" applyFont="1" applyFill="1" applyBorder="1"/>
    <xf numFmtId="0" fontId="5" fillId="3" borderId="1" xfId="0" applyFont="1" applyFill="1" applyBorder="1"/>
    <xf numFmtId="0" fontId="3" fillId="3" borderId="0" xfId="4" applyFont="1" applyFill="1"/>
    <xf numFmtId="0" fontId="3" fillId="4" borderId="2" xfId="0" applyFont="1" applyFill="1" applyBorder="1"/>
    <xf numFmtId="0" fontId="3" fillId="4" borderId="8" xfId="0" applyFont="1" applyFill="1" applyBorder="1"/>
    <xf numFmtId="0" fontId="3" fillId="4" borderId="3" xfId="0" applyFont="1" applyFill="1" applyBorder="1"/>
    <xf numFmtId="0" fontId="3" fillId="4" borderId="13" xfId="0" applyFont="1" applyFill="1" applyBorder="1"/>
    <xf numFmtId="0" fontId="3" fillId="4" borderId="12" xfId="0" applyFont="1" applyFill="1" applyBorder="1"/>
    <xf numFmtId="0" fontId="3" fillId="4" borderId="4" xfId="0" applyFont="1" applyFill="1" applyBorder="1"/>
    <xf numFmtId="0" fontId="6" fillId="0" borderId="0" xfId="0" applyFont="1"/>
    <xf numFmtId="169" fontId="6" fillId="0" borderId="0" xfId="0" applyNumberFormat="1" applyFont="1"/>
    <xf numFmtId="169" fontId="0" fillId="0" borderId="0" xfId="0" applyNumberFormat="1"/>
    <xf numFmtId="4" fontId="6" fillId="0" borderId="0" xfId="0" applyNumberFormat="1" applyFont="1"/>
    <xf numFmtId="4" fontId="0" fillId="0" borderId="0" xfId="0" applyNumberFormat="1"/>
  </cellXfs>
  <cellStyles count="5">
    <cellStyle name="Comma" xfId="1" builtinId="3"/>
    <cellStyle name="Currency" xfId="2" builtinId="4"/>
    <cellStyle name="Normal" xfId="0" builtinId="0"/>
    <cellStyle name="Normal 49" xfId="4" xr:uid="{1E73B142-88EA-4FD9-A446-56E058CBA84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9"/>
  <sheetViews>
    <sheetView workbookViewId="0">
      <pane ySplit="4" topLeftCell="A5" activePane="bottomLeft" state="frozen"/>
      <selection pane="bottomLeft" activeCell="F15" sqref="F15"/>
    </sheetView>
  </sheetViews>
  <sheetFormatPr defaultColWidth="8.7109375" defaultRowHeight="12.75" x14ac:dyDescent="0.2"/>
  <cols>
    <col min="1" max="1" width="12.85546875" style="39" customWidth="1"/>
    <col min="2" max="2" width="23.85546875" style="40" customWidth="1"/>
    <col min="3" max="14" width="10" style="40" customWidth="1"/>
    <col min="15" max="15" width="3.7109375" style="1" customWidth="1"/>
    <col min="16" max="16" width="20.42578125" style="39" bestFit="1" customWidth="1"/>
    <col min="17" max="17" width="13.140625" style="39" customWidth="1"/>
    <col min="18" max="19" width="13.7109375" style="39" customWidth="1"/>
    <col min="20" max="20" width="13.5703125" style="39" customWidth="1"/>
    <col min="21" max="16384" width="8.7109375" style="39"/>
  </cols>
  <sheetData>
    <row r="1" spans="1:20" ht="13.5" thickBot="1" x14ac:dyDescent="0.25">
      <c r="C1" s="39">
        <v>1</v>
      </c>
      <c r="D1" s="40">
        <v>2</v>
      </c>
      <c r="E1" s="39">
        <v>3</v>
      </c>
      <c r="F1" s="40">
        <v>4</v>
      </c>
      <c r="G1" s="39">
        <v>5</v>
      </c>
      <c r="H1" s="40">
        <v>6</v>
      </c>
      <c r="I1" s="39">
        <v>7</v>
      </c>
      <c r="J1" s="40">
        <v>8</v>
      </c>
      <c r="K1" s="39">
        <v>9</v>
      </c>
      <c r="L1" s="40">
        <v>10</v>
      </c>
      <c r="M1" s="39">
        <v>11</v>
      </c>
      <c r="N1" s="40">
        <v>12</v>
      </c>
      <c r="O1" s="39">
        <v>13</v>
      </c>
      <c r="P1" s="40"/>
      <c r="R1" s="40"/>
    </row>
    <row r="2" spans="1:20" x14ac:dyDescent="0.2">
      <c r="C2" s="41" t="s">
        <v>5</v>
      </c>
    </row>
    <row r="3" spans="1:20" ht="27.75" customHeight="1" thickBot="1" x14ac:dyDescent="0.25">
      <c r="C3" s="42" t="s">
        <v>14</v>
      </c>
    </row>
    <row r="4" spans="1:20" ht="13.5" thickBot="1" x14ac:dyDescent="0.25">
      <c r="C4" s="141">
        <v>45596</v>
      </c>
      <c r="D4" s="142">
        <f>EDATE(C4,1)</f>
        <v>45626</v>
      </c>
      <c r="E4" s="143">
        <f t="shared" ref="E4:N4" si="0">EDATE(D4,1)</f>
        <v>45656</v>
      </c>
      <c r="F4" s="143">
        <f t="shared" si="0"/>
        <v>45687</v>
      </c>
      <c r="G4" s="143">
        <f t="shared" si="0"/>
        <v>45716</v>
      </c>
      <c r="H4" s="143">
        <f t="shared" si="0"/>
        <v>45744</v>
      </c>
      <c r="I4" s="144">
        <f t="shared" si="0"/>
        <v>45775</v>
      </c>
      <c r="J4" s="144">
        <f t="shared" si="0"/>
        <v>45805</v>
      </c>
      <c r="K4" s="144">
        <f t="shared" si="0"/>
        <v>45836</v>
      </c>
      <c r="L4" s="144">
        <f t="shared" si="0"/>
        <v>45866</v>
      </c>
      <c r="M4" s="144">
        <f t="shared" si="0"/>
        <v>45897</v>
      </c>
      <c r="N4" s="145">
        <f t="shared" si="0"/>
        <v>45928</v>
      </c>
      <c r="O4" s="39"/>
      <c r="T4" s="43"/>
    </row>
    <row r="5" spans="1:20" ht="13.5" thickBot="1" x14ac:dyDescent="0.25">
      <c r="A5" s="39" t="s">
        <v>16</v>
      </c>
      <c r="B5" s="146" t="s">
        <v>101</v>
      </c>
      <c r="C5" s="45"/>
      <c r="D5" s="45"/>
      <c r="E5" s="45"/>
      <c r="F5" s="45"/>
      <c r="G5" s="45"/>
      <c r="H5" s="45"/>
      <c r="I5" s="46"/>
      <c r="J5" s="46"/>
      <c r="K5" s="46"/>
      <c r="L5" s="46"/>
      <c r="M5" s="46"/>
      <c r="N5" s="46"/>
      <c r="O5" s="39"/>
    </row>
    <row r="6" spans="1:20" x14ac:dyDescent="0.2">
      <c r="B6" s="47" t="s">
        <v>29</v>
      </c>
      <c r="C6" s="48">
        <v>72353.847999999998</v>
      </c>
      <c r="D6" s="48">
        <v>70502.478000000003</v>
      </c>
      <c r="E6" s="48">
        <v>76291.781000000003</v>
      </c>
      <c r="F6" s="48">
        <v>70952.100999999995</v>
      </c>
      <c r="G6" s="48">
        <v>62662.083000000006</v>
      </c>
      <c r="H6" s="48">
        <v>74883.62999999999</v>
      </c>
      <c r="I6" s="49">
        <v>74829.498000000007</v>
      </c>
      <c r="J6" s="49">
        <v>76786.120999999999</v>
      </c>
      <c r="K6" s="49">
        <v>78039.753000000012</v>
      </c>
      <c r="L6" s="49">
        <v>69919.451000000001</v>
      </c>
      <c r="M6" s="49">
        <v>71142.206999999995</v>
      </c>
      <c r="N6" s="50">
        <v>76706.796999999991</v>
      </c>
      <c r="O6" s="39"/>
    </row>
    <row r="7" spans="1:20" ht="13.5" thickBot="1" x14ac:dyDescent="0.25">
      <c r="B7" s="51" t="s">
        <v>102</v>
      </c>
      <c r="C7" s="52">
        <v>4554938.09</v>
      </c>
      <c r="D7" s="52">
        <v>4410882.8499999996</v>
      </c>
      <c r="E7" s="52">
        <v>4784355.49</v>
      </c>
      <c r="F7" s="52">
        <v>4808684.1800000006</v>
      </c>
      <c r="G7" s="52">
        <v>4010354.5</v>
      </c>
      <c r="H7" s="52">
        <v>4443915.3</v>
      </c>
      <c r="I7" s="53">
        <v>4169707.0599999996</v>
      </c>
      <c r="J7" s="53">
        <v>4335379.8600000003</v>
      </c>
      <c r="K7" s="53">
        <v>4928770.3</v>
      </c>
      <c r="L7" s="53">
        <v>4424675.04</v>
      </c>
      <c r="M7" s="53">
        <v>4171704.2899999996</v>
      </c>
      <c r="N7" s="54">
        <v>4342062.49</v>
      </c>
      <c r="O7" s="3"/>
    </row>
    <row r="8" spans="1:20" ht="13.5" thickBot="1" x14ac:dyDescent="0.25">
      <c r="B8" s="44" t="s">
        <v>0</v>
      </c>
      <c r="C8" s="14">
        <f>C7/C6</f>
        <v>62.95363986722586</v>
      </c>
      <c r="D8" s="13">
        <f t="shared" ref="D8:N8" si="1">D7/D6</f>
        <v>62.563515143396799</v>
      </c>
      <c r="E8" s="13">
        <f t="shared" si="1"/>
        <v>62.71128327702823</v>
      </c>
      <c r="F8" s="13">
        <f t="shared" si="1"/>
        <v>67.773668604964925</v>
      </c>
      <c r="G8" s="13">
        <f t="shared" si="1"/>
        <v>63.999699786551936</v>
      </c>
      <c r="H8" s="13">
        <f t="shared" si="1"/>
        <v>59.344282588864885</v>
      </c>
      <c r="I8" s="13">
        <f t="shared" si="1"/>
        <v>55.722772054410939</v>
      </c>
      <c r="J8" s="13">
        <f t="shared" si="1"/>
        <v>56.460461910818495</v>
      </c>
      <c r="K8" s="13">
        <f t="shared" si="1"/>
        <v>63.157174523604645</v>
      </c>
      <c r="L8" s="13">
        <f t="shared" si="1"/>
        <v>63.282462558237192</v>
      </c>
      <c r="M8" s="13">
        <f t="shared" si="1"/>
        <v>58.638949590079484</v>
      </c>
      <c r="N8" s="15">
        <f t="shared" si="1"/>
        <v>56.605967917028273</v>
      </c>
      <c r="O8" s="3"/>
      <c r="Q8" s="43"/>
    </row>
    <row r="9" spans="1:20" ht="13.5" thickBot="1" x14ac:dyDescent="0.25">
      <c r="B9" s="45"/>
      <c r="C9" s="45"/>
      <c r="D9" s="45"/>
      <c r="E9" s="45"/>
      <c r="F9" s="45"/>
      <c r="G9" s="45"/>
      <c r="H9" s="45"/>
      <c r="I9" s="11"/>
      <c r="J9" s="11"/>
      <c r="K9" s="11"/>
      <c r="L9" s="11"/>
      <c r="M9" s="11"/>
      <c r="N9" s="11"/>
      <c r="O9" s="3"/>
      <c r="Q9" s="55"/>
      <c r="R9" s="56"/>
      <c r="S9" s="56"/>
    </row>
    <row r="10" spans="1:20" ht="13.5" thickBot="1" x14ac:dyDescent="0.25">
      <c r="B10" s="146" t="s">
        <v>101</v>
      </c>
      <c r="C10" s="45"/>
      <c r="D10" s="45"/>
      <c r="E10" s="45"/>
      <c r="F10" s="45"/>
      <c r="G10" s="45"/>
      <c r="H10" s="45"/>
      <c r="I10" s="4"/>
      <c r="J10" s="4"/>
      <c r="K10" s="4"/>
      <c r="L10" s="4"/>
      <c r="M10" s="4"/>
      <c r="N10" s="4"/>
      <c r="O10" s="3"/>
      <c r="Q10" s="56"/>
      <c r="R10" s="56"/>
    </row>
    <row r="11" spans="1:20" ht="13.5" thickBot="1" x14ac:dyDescent="0.25">
      <c r="B11" s="47" t="s">
        <v>31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9">
        <v>0</v>
      </c>
      <c r="O11" s="3"/>
      <c r="P11" s="146" t="s">
        <v>101</v>
      </c>
      <c r="Q11" s="149" t="s">
        <v>18</v>
      </c>
      <c r="R11" s="150" t="s">
        <v>19</v>
      </c>
      <c r="S11" s="151" t="s">
        <v>20</v>
      </c>
      <c r="T11" s="60" t="s">
        <v>6</v>
      </c>
    </row>
    <row r="12" spans="1:20" ht="13.5" thickBot="1" x14ac:dyDescent="0.25">
      <c r="B12" s="51" t="s">
        <v>103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4">
        <v>0</v>
      </c>
      <c r="O12" s="3"/>
      <c r="P12" s="47" t="s">
        <v>29</v>
      </c>
      <c r="Q12" s="61">
        <f>AVERAGE(C6:N6)</f>
        <v>72922.479000000007</v>
      </c>
      <c r="R12" s="61">
        <f>AVERAGE(I6:N6)</f>
        <v>74570.637833333341</v>
      </c>
      <c r="S12" s="62">
        <f>AVERAGE(L6:N6)</f>
        <v>72589.485000000001</v>
      </c>
      <c r="T12" s="2"/>
    </row>
    <row r="13" spans="1:20" ht="13.5" thickBot="1" x14ac:dyDescent="0.25">
      <c r="B13" s="44" t="s">
        <v>1</v>
      </c>
      <c r="C13" s="14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5">
        <v>0</v>
      </c>
      <c r="O13" s="3"/>
      <c r="P13" s="63" t="s">
        <v>31</v>
      </c>
      <c r="Q13" s="61">
        <v>0</v>
      </c>
      <c r="R13" s="61">
        <v>0</v>
      </c>
      <c r="S13" s="62">
        <v>0</v>
      </c>
      <c r="T13" s="64"/>
    </row>
    <row r="14" spans="1:20" ht="13.5" thickBot="1" x14ac:dyDescent="0.25">
      <c r="I14" s="1"/>
      <c r="J14" s="1"/>
      <c r="K14" s="1"/>
      <c r="L14" s="1"/>
      <c r="M14" s="1"/>
      <c r="N14" s="1"/>
      <c r="O14" s="3"/>
      <c r="P14" s="51" t="s">
        <v>33</v>
      </c>
      <c r="Q14" s="65">
        <f>AVERAGE(C16:N16)</f>
        <v>8096.7530833333331</v>
      </c>
      <c r="R14" s="65">
        <f>AVERAGE(I16:N16)</f>
        <v>8037.7693333333336</v>
      </c>
      <c r="S14" s="66">
        <f>AVERAGE(L17:N17)</f>
        <v>338526.46666666662</v>
      </c>
      <c r="T14" s="67"/>
    </row>
    <row r="15" spans="1:20" ht="13.5" thickBot="1" x14ac:dyDescent="0.25">
      <c r="B15" s="146" t="s">
        <v>101</v>
      </c>
      <c r="C15" s="45"/>
      <c r="D15" s="45"/>
      <c r="E15" s="45"/>
      <c r="F15" s="45"/>
      <c r="G15" s="45"/>
      <c r="H15" s="45"/>
      <c r="I15" s="4"/>
      <c r="J15" s="4"/>
      <c r="K15" s="4"/>
      <c r="L15" s="4"/>
      <c r="M15" s="4"/>
      <c r="N15" s="4"/>
      <c r="O15" s="3"/>
      <c r="P15" s="68"/>
      <c r="Q15" s="68"/>
    </row>
    <row r="16" spans="1:20" ht="13.5" thickBot="1" x14ac:dyDescent="0.25">
      <c r="B16" s="47" t="s">
        <v>33</v>
      </c>
      <c r="C16" s="48">
        <v>9207.9959999999992</v>
      </c>
      <c r="D16" s="48">
        <v>8723.2340000000004</v>
      </c>
      <c r="E16" s="48">
        <v>8649.8230000000003</v>
      </c>
      <c r="F16" s="48">
        <v>7846.2709999999997</v>
      </c>
      <c r="G16" s="48">
        <v>6166.1799999999994</v>
      </c>
      <c r="H16" s="48">
        <v>8340.9169999999995</v>
      </c>
      <c r="I16" s="49">
        <v>8759.5779999999995</v>
      </c>
      <c r="J16" s="49">
        <v>6530.3360000000002</v>
      </c>
      <c r="K16" s="49">
        <v>11455.539999999999</v>
      </c>
      <c r="L16" s="49">
        <v>2682.9489999999996</v>
      </c>
      <c r="M16" s="49">
        <v>9555.773000000001</v>
      </c>
      <c r="N16" s="50">
        <v>9242.44</v>
      </c>
      <c r="O16" s="3"/>
    </row>
    <row r="17" spans="1:20" ht="13.5" thickBot="1" x14ac:dyDescent="0.25">
      <c r="B17" s="51" t="s">
        <v>104</v>
      </c>
      <c r="C17" s="69">
        <v>506236.61</v>
      </c>
      <c r="D17" s="69">
        <v>486197.25</v>
      </c>
      <c r="E17" s="69">
        <v>466767.58999999997</v>
      </c>
      <c r="F17" s="69">
        <v>453514.62</v>
      </c>
      <c r="G17" s="69">
        <v>329502.50999999995</v>
      </c>
      <c r="H17" s="69">
        <v>431592.81</v>
      </c>
      <c r="I17" s="53">
        <v>423339.83</v>
      </c>
      <c r="J17" s="53">
        <v>314637.75</v>
      </c>
      <c r="K17" s="53">
        <v>543535.02</v>
      </c>
      <c r="L17" s="53">
        <v>121273.23</v>
      </c>
      <c r="M17" s="53">
        <v>456105.65</v>
      </c>
      <c r="N17" s="54">
        <v>438200.51999999996</v>
      </c>
      <c r="O17" s="3"/>
      <c r="P17" s="146" t="s">
        <v>101</v>
      </c>
      <c r="Q17" s="149" t="s">
        <v>18</v>
      </c>
      <c r="R17" s="150" t="s">
        <v>19</v>
      </c>
      <c r="S17" s="151" t="s">
        <v>20</v>
      </c>
      <c r="T17" s="70" t="s">
        <v>6</v>
      </c>
    </row>
    <row r="18" spans="1:20" ht="13.5" thickBot="1" x14ac:dyDescent="0.25">
      <c r="B18" s="44" t="s">
        <v>22</v>
      </c>
      <c r="C18" s="14">
        <f>C17/C16</f>
        <v>54.977935481292569</v>
      </c>
      <c r="D18" s="13">
        <f t="shared" ref="D18" si="2">D17/D16</f>
        <v>55.735894508848439</v>
      </c>
      <c r="E18" s="13">
        <f t="shared" ref="E18" si="3">E17/E16</f>
        <v>53.962675305610297</v>
      </c>
      <c r="F18" s="13">
        <f t="shared" ref="F18" si="4">F17/F16</f>
        <v>57.800019907545895</v>
      </c>
      <c r="G18" s="13">
        <f t="shared" ref="G18" si="5">G17/G16</f>
        <v>53.437056654200816</v>
      </c>
      <c r="H18" s="13">
        <f t="shared" ref="H18" si="6">H17/H16</f>
        <v>51.744048046515751</v>
      </c>
      <c r="I18" s="13">
        <f t="shared" ref="I18" si="7">I17/I16</f>
        <v>48.328792779743502</v>
      </c>
      <c r="J18" s="13">
        <f t="shared" ref="J18" si="8">J17/J16</f>
        <v>48.180943522661003</v>
      </c>
      <c r="K18" s="13">
        <f t="shared" ref="K18" si="9">K17/K16</f>
        <v>47.447350364976252</v>
      </c>
      <c r="L18" s="13">
        <f t="shared" ref="L18" si="10">L17/L16</f>
        <v>45.201466744243</v>
      </c>
      <c r="M18" s="13">
        <f t="shared" ref="M18" si="11">M17/M16</f>
        <v>47.730900472415989</v>
      </c>
      <c r="N18" s="15">
        <f t="shared" ref="N18" si="12">N17/N16</f>
        <v>47.411778707787114</v>
      </c>
      <c r="O18" s="3"/>
      <c r="P18" s="106" t="s">
        <v>43</v>
      </c>
      <c r="Q18" s="71">
        <f>AVERAGE(C7:N7)+AVERAGE(C12:N12)+AVERAGE(C17:N17)</f>
        <v>4863027.7366666663</v>
      </c>
      <c r="R18" s="65">
        <f>AVERAGE(I7:N7)+AVERAGE(I12:N12)+AVERAGE(I17:N17)</f>
        <v>4778231.84</v>
      </c>
      <c r="S18" s="66">
        <f>AVERAGE(L7:N7)+AVERAGE(L12:N12)+AVERAGE(L17:N17)</f>
        <v>4651340.4066666672</v>
      </c>
      <c r="T18" s="5"/>
    </row>
    <row r="19" spans="1:20" x14ac:dyDescent="0.2">
      <c r="I19" s="1"/>
      <c r="J19" s="1"/>
      <c r="K19" s="1"/>
      <c r="L19" s="1"/>
      <c r="M19" s="1"/>
      <c r="N19" s="1"/>
      <c r="O19" s="3"/>
    </row>
    <row r="20" spans="1:20" ht="13.5" thickBot="1" x14ac:dyDescent="0.25">
      <c r="A20" s="39" t="s">
        <v>15</v>
      </c>
      <c r="B20" s="45" t="s">
        <v>21</v>
      </c>
      <c r="O20" s="3"/>
    </row>
    <row r="21" spans="1:20" x14ac:dyDescent="0.2">
      <c r="B21" s="72" t="s">
        <v>3</v>
      </c>
      <c r="C21" s="73">
        <v>71.989999999999995</v>
      </c>
      <c r="D21" s="73">
        <v>69.95</v>
      </c>
      <c r="E21" s="73">
        <v>70.12</v>
      </c>
      <c r="F21" s="73">
        <v>75.739999999999995</v>
      </c>
      <c r="G21" s="73">
        <v>71.53</v>
      </c>
      <c r="H21" s="73">
        <v>68.239999999999995</v>
      </c>
      <c r="I21" s="74">
        <v>63.54</v>
      </c>
      <c r="J21" s="74">
        <v>62.17</v>
      </c>
      <c r="K21" s="74">
        <v>68.17</v>
      </c>
      <c r="L21" s="74">
        <v>68.39</v>
      </c>
      <c r="M21" s="74">
        <v>64.86</v>
      </c>
      <c r="N21" s="75">
        <v>63.96</v>
      </c>
    </row>
    <row r="22" spans="1:20" ht="13.5" thickBot="1" x14ac:dyDescent="0.25">
      <c r="B22" s="76" t="s">
        <v>4</v>
      </c>
      <c r="C22" s="77">
        <v>2.2000000000000002</v>
      </c>
      <c r="D22" s="77">
        <v>2.12</v>
      </c>
      <c r="E22" s="77">
        <v>3.01</v>
      </c>
      <c r="F22" s="77">
        <v>4.13</v>
      </c>
      <c r="G22" s="77">
        <v>4.1900000000000004</v>
      </c>
      <c r="H22" s="77">
        <v>4.12</v>
      </c>
      <c r="I22" s="78">
        <v>3.42</v>
      </c>
      <c r="J22" s="78">
        <v>3.12</v>
      </c>
      <c r="K22" s="78">
        <v>3.02</v>
      </c>
      <c r="L22" s="78">
        <v>3.2</v>
      </c>
      <c r="M22" s="78">
        <v>2.91</v>
      </c>
      <c r="N22" s="79">
        <v>2.97</v>
      </c>
      <c r="O22" s="16"/>
      <c r="Q22" s="56"/>
      <c r="R22" s="56"/>
      <c r="S22" s="56"/>
      <c r="T22" s="8"/>
    </row>
    <row r="23" spans="1:20" ht="13.5" thickBot="1" x14ac:dyDescent="0.25">
      <c r="B23" s="45"/>
      <c r="C23" s="45"/>
      <c r="D23" s="45"/>
      <c r="E23" s="45"/>
      <c r="F23" s="45"/>
      <c r="G23" s="45"/>
      <c r="H23" s="45"/>
      <c r="I23" s="17"/>
      <c r="J23" s="17"/>
      <c r="K23" s="17"/>
      <c r="L23" s="17"/>
      <c r="M23" s="17"/>
      <c r="N23" s="11"/>
      <c r="O23" s="16"/>
    </row>
    <row r="24" spans="1:20" ht="13.5" thickBot="1" x14ac:dyDescent="0.25">
      <c r="B24" s="147" t="s">
        <v>105</v>
      </c>
      <c r="C24" s="45"/>
      <c r="D24" s="45"/>
      <c r="E24" s="45"/>
      <c r="F24" s="45"/>
      <c r="G24" s="45"/>
      <c r="H24" s="45"/>
      <c r="I24" s="6"/>
      <c r="J24" s="6"/>
      <c r="K24" s="6"/>
      <c r="L24" s="6"/>
      <c r="M24" s="6"/>
      <c r="N24" s="6"/>
      <c r="O24" s="16"/>
      <c r="P24" s="147" t="s">
        <v>105</v>
      </c>
      <c r="Q24" s="149" t="s">
        <v>18</v>
      </c>
      <c r="R24" s="150" t="s">
        <v>19</v>
      </c>
      <c r="S24" s="151" t="s">
        <v>20</v>
      </c>
      <c r="T24" s="70" t="s">
        <v>6</v>
      </c>
    </row>
    <row r="25" spans="1:20" x14ac:dyDescent="0.2">
      <c r="A25" s="39" t="s">
        <v>17</v>
      </c>
      <c r="B25" s="41" t="s">
        <v>106</v>
      </c>
      <c r="C25" s="80">
        <f>C8-C21</f>
        <v>-9.036360132774135</v>
      </c>
      <c r="D25" s="81">
        <f t="shared" ref="D25:N25" si="13">D8-D21</f>
        <v>-7.3864848566032038</v>
      </c>
      <c r="E25" s="81">
        <f t="shared" si="13"/>
        <v>-7.408716722971775</v>
      </c>
      <c r="F25" s="81">
        <f t="shared" si="13"/>
        <v>-7.9663313950350698</v>
      </c>
      <c r="G25" s="81">
        <f t="shared" si="13"/>
        <v>-7.530300213448065</v>
      </c>
      <c r="H25" s="81">
        <f t="shared" si="13"/>
        <v>-8.8957174111351094</v>
      </c>
      <c r="I25" s="81">
        <f t="shared" si="13"/>
        <v>-7.8172279455890603</v>
      </c>
      <c r="J25" s="81">
        <f t="shared" si="13"/>
        <v>-5.7095380891815068</v>
      </c>
      <c r="K25" s="81">
        <f t="shared" si="13"/>
        <v>-5.0128254763953564</v>
      </c>
      <c r="L25" s="81">
        <f t="shared" si="13"/>
        <v>-5.1075374417628083</v>
      </c>
      <c r="M25" s="81">
        <f t="shared" si="13"/>
        <v>-6.2210504099205153</v>
      </c>
      <c r="N25" s="82">
        <f t="shared" si="13"/>
        <v>-7.3540320829717274</v>
      </c>
      <c r="O25" s="16"/>
      <c r="P25" s="41" t="s">
        <v>106</v>
      </c>
      <c r="Q25" s="83">
        <f>AVERAGE(C25:N25)</f>
        <v>-7.1205101814823601</v>
      </c>
      <c r="R25" s="84">
        <f>AVERAGE(I25:N25)</f>
        <v>-6.2037019076368294</v>
      </c>
      <c r="S25" s="85">
        <f>AVERAGE(L25:N25)</f>
        <v>-6.22753997821835</v>
      </c>
      <c r="T25" s="86"/>
    </row>
    <row r="26" spans="1:20" x14ac:dyDescent="0.2">
      <c r="B26" s="87" t="s">
        <v>107</v>
      </c>
      <c r="C26" s="88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1">
        <v>0</v>
      </c>
      <c r="O26" s="16"/>
      <c r="P26" s="87" t="s">
        <v>107</v>
      </c>
      <c r="Q26" s="83">
        <f t="shared" ref="Q26:Q27" si="14">AVERAGE(C26:N26)</f>
        <v>0</v>
      </c>
      <c r="R26" s="84">
        <f t="shared" ref="R26:R27" si="15">AVERAGE(I26:N26)</f>
        <v>0</v>
      </c>
      <c r="S26" s="85">
        <f t="shared" ref="S26:S27" si="16">AVERAGE(L26:N26)</f>
        <v>0</v>
      </c>
      <c r="T26" s="7"/>
    </row>
    <row r="27" spans="1:20" ht="13.5" thickBot="1" x14ac:dyDescent="0.25">
      <c r="B27" s="92" t="s">
        <v>108</v>
      </c>
      <c r="C27" s="93">
        <f>C18/C21</f>
        <v>0.76368850508810349</v>
      </c>
      <c r="D27" s="94">
        <f t="shared" ref="D27:N27" si="17">D18/D21</f>
        <v>0.79679620455823352</v>
      </c>
      <c r="E27" s="94">
        <f t="shared" si="17"/>
        <v>0.7695760882146363</v>
      </c>
      <c r="F27" s="94">
        <f t="shared" si="17"/>
        <v>0.76313731063567336</v>
      </c>
      <c r="G27" s="94">
        <f t="shared" si="17"/>
        <v>0.7470579708402183</v>
      </c>
      <c r="H27" s="94">
        <f t="shared" si="17"/>
        <v>0.75826565132643253</v>
      </c>
      <c r="I27" s="94">
        <f t="shared" si="17"/>
        <v>0.76060423008724432</v>
      </c>
      <c r="J27" s="94">
        <f t="shared" si="17"/>
        <v>0.77498702786972817</v>
      </c>
      <c r="K27" s="94">
        <f t="shared" si="17"/>
        <v>0.69601511463952248</v>
      </c>
      <c r="L27" s="94">
        <f t="shared" si="17"/>
        <v>0.66093678526455624</v>
      </c>
      <c r="M27" s="94">
        <f t="shared" si="17"/>
        <v>0.73590657527622561</v>
      </c>
      <c r="N27" s="95">
        <f t="shared" si="17"/>
        <v>0.74127233752012378</v>
      </c>
      <c r="O27" s="16"/>
      <c r="P27" s="92" t="s">
        <v>108</v>
      </c>
      <c r="Q27" s="96">
        <f t="shared" si="14"/>
        <v>0.74735365011005817</v>
      </c>
      <c r="R27" s="97">
        <f t="shared" si="15"/>
        <v>0.72828701177623356</v>
      </c>
      <c r="S27" s="98">
        <f t="shared" si="16"/>
        <v>0.7127052326869685</v>
      </c>
      <c r="T27" s="99"/>
    </row>
    <row r="28" spans="1:20" ht="13.5" thickBot="1" x14ac:dyDescent="0.25">
      <c r="B28" s="45"/>
      <c r="C28" s="45"/>
      <c r="D28" s="45"/>
      <c r="E28" s="45"/>
      <c r="F28" s="45"/>
      <c r="G28" s="45"/>
      <c r="H28" s="45"/>
      <c r="I28" s="12"/>
      <c r="J28" s="12"/>
      <c r="K28" s="12"/>
      <c r="L28" s="12"/>
      <c r="M28" s="12"/>
      <c r="N28" s="12"/>
      <c r="O28" s="16"/>
      <c r="Q28" s="56"/>
      <c r="R28" s="56"/>
      <c r="S28" s="56"/>
      <c r="T28" s="8"/>
    </row>
    <row r="29" spans="1:20" ht="13.5" thickBot="1" x14ac:dyDescent="0.25">
      <c r="A29" s="68"/>
      <c r="B29" s="148" t="s">
        <v>95</v>
      </c>
      <c r="C29" s="45"/>
      <c r="D29" s="45"/>
      <c r="E29" s="45"/>
      <c r="F29" s="45"/>
      <c r="G29" s="45"/>
      <c r="H29" s="45"/>
      <c r="I29" s="100"/>
      <c r="J29" s="100"/>
      <c r="K29" s="100"/>
      <c r="L29" s="100"/>
      <c r="M29" s="100"/>
      <c r="N29" s="100"/>
      <c r="O29" s="3"/>
      <c r="P29" s="148" t="s">
        <v>95</v>
      </c>
      <c r="Q29" s="149" t="s">
        <v>18</v>
      </c>
      <c r="R29" s="150" t="s">
        <v>19</v>
      </c>
      <c r="S29" s="151" t="s">
        <v>20</v>
      </c>
      <c r="T29" s="70" t="s">
        <v>6</v>
      </c>
    </row>
    <row r="30" spans="1:20" ht="13.5" thickBot="1" x14ac:dyDescent="0.25">
      <c r="A30" s="101"/>
      <c r="B30" s="44" t="s">
        <v>96</v>
      </c>
      <c r="C30" s="102">
        <v>1371.6745499999995</v>
      </c>
      <c r="D30" s="103">
        <v>1364.8033400000002</v>
      </c>
      <c r="E30" s="103">
        <v>1523.3619699999999</v>
      </c>
      <c r="F30" s="103">
        <v>1424.9782453478949</v>
      </c>
      <c r="G30" s="103">
        <v>980.69320000000005</v>
      </c>
      <c r="H30" s="103">
        <v>1473.8899003437502</v>
      </c>
      <c r="I30" s="104">
        <v>1339.25632</v>
      </c>
      <c r="J30" s="104">
        <v>1438.7025500000004</v>
      </c>
      <c r="K30" s="104">
        <v>1396.4909299999999</v>
      </c>
      <c r="L30" s="104">
        <v>1332.4224100000008</v>
      </c>
      <c r="M30" s="104">
        <v>1356.9148299999999</v>
      </c>
      <c r="N30" s="105">
        <v>1228.0316399999999</v>
      </c>
      <c r="O30" s="3"/>
      <c r="P30" s="44" t="s">
        <v>96</v>
      </c>
      <c r="Q30" s="107">
        <f>AVERAGE(C30:N30)</f>
        <v>1352.6016571409702</v>
      </c>
      <c r="R30" s="108">
        <f>AVERAGE(I30:N30)</f>
        <v>1348.6364466666669</v>
      </c>
      <c r="S30" s="108">
        <f>AVERAGE(L30:N30)</f>
        <v>1305.7896266666669</v>
      </c>
      <c r="T30" s="5"/>
    </row>
    <row r="31" spans="1:20" ht="13.5" thickBot="1" x14ac:dyDescent="0.25">
      <c r="A31" s="68"/>
      <c r="I31" s="100"/>
      <c r="J31" s="100"/>
      <c r="K31" s="100"/>
      <c r="L31" s="100"/>
      <c r="M31" s="100"/>
      <c r="N31" s="100"/>
      <c r="O31" s="3"/>
    </row>
    <row r="32" spans="1:20" ht="13.5" thickBot="1" x14ac:dyDescent="0.25">
      <c r="A32" s="68"/>
      <c r="B32" s="148" t="s">
        <v>110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"/>
      <c r="P32" s="148" t="s">
        <v>110</v>
      </c>
      <c r="Q32" s="152" t="s">
        <v>18</v>
      </c>
      <c r="R32" s="153" t="s">
        <v>19</v>
      </c>
      <c r="S32" s="154" t="s">
        <v>20</v>
      </c>
      <c r="T32" s="109" t="s">
        <v>6</v>
      </c>
    </row>
    <row r="33" spans="1:20" x14ac:dyDescent="0.2">
      <c r="A33" s="101"/>
      <c r="B33" s="41" t="s">
        <v>97</v>
      </c>
      <c r="C33" s="110">
        <v>1.0177160291759612E-4</v>
      </c>
      <c r="D33" s="111">
        <v>1.0182974223969742E-4</v>
      </c>
      <c r="E33" s="111">
        <v>1.0253143529637403E-4</v>
      </c>
      <c r="F33" s="111">
        <v>1.0283810834338761E-4</v>
      </c>
      <c r="G33" s="111">
        <v>1.0181639412997039E-4</v>
      </c>
      <c r="H33" s="111">
        <v>1.0097069860860082E-4</v>
      </c>
      <c r="I33" s="37">
        <v>1.005676011320636E-4</v>
      </c>
      <c r="J33" s="37">
        <v>1.0140982471605663E-4</v>
      </c>
      <c r="K33" s="37">
        <v>1.0054570390119019E-4</v>
      </c>
      <c r="L33" s="37">
        <v>1.0414964635361098E-4</v>
      </c>
      <c r="M33" s="37">
        <v>1.009098606165699E-4</v>
      </c>
      <c r="N33" s="38">
        <v>1.0063854169735023E-4</v>
      </c>
      <c r="O33" s="3"/>
      <c r="P33" s="41" t="s">
        <v>97</v>
      </c>
      <c r="Q33" s="112">
        <f>AVERAGE(C33:N33)</f>
        <v>1.0166492999603901E-4</v>
      </c>
      <c r="R33" s="113">
        <f>AVERAGE(I33:N33)</f>
        <v>1.0137019640280693E-4</v>
      </c>
      <c r="S33" s="114">
        <f>AVERAGE(L33:N33)</f>
        <v>1.0189934955584371E-4</v>
      </c>
      <c r="T33" s="18"/>
    </row>
    <row r="34" spans="1:20" ht="13.5" thickBot="1" x14ac:dyDescent="0.25">
      <c r="A34" s="68"/>
      <c r="B34" s="76" t="s">
        <v>100</v>
      </c>
      <c r="C34" s="115">
        <v>2.1351019545499548E-8</v>
      </c>
      <c r="D34" s="116">
        <v>0</v>
      </c>
      <c r="E34" s="116">
        <v>0</v>
      </c>
      <c r="F34" s="116">
        <v>0</v>
      </c>
      <c r="G34" s="116">
        <v>0</v>
      </c>
      <c r="H34" s="116">
        <v>0</v>
      </c>
      <c r="I34" s="116">
        <v>0</v>
      </c>
      <c r="J34" s="116">
        <v>0</v>
      </c>
      <c r="K34" s="116">
        <v>0</v>
      </c>
      <c r="L34" s="116">
        <v>0</v>
      </c>
      <c r="M34" s="116">
        <v>0</v>
      </c>
      <c r="N34" s="117">
        <v>0</v>
      </c>
      <c r="O34" s="3"/>
      <c r="P34" s="76" t="s">
        <v>100</v>
      </c>
      <c r="Q34" s="96">
        <f>AVERAGE(C34:N34)</f>
        <v>1.779251628791629E-9</v>
      </c>
      <c r="R34" s="97">
        <f>AVERAGE(I34:N34)</f>
        <v>0</v>
      </c>
      <c r="S34" s="98">
        <f>AVERAGE(L34:N34)</f>
        <v>0</v>
      </c>
      <c r="T34" s="19"/>
    </row>
    <row r="35" spans="1:20" x14ac:dyDescent="0.2">
      <c r="A35" s="6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</row>
    <row r="36" spans="1:20" x14ac:dyDescent="0.2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</row>
    <row r="37" spans="1:20" x14ac:dyDescent="0.2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</row>
    <row r="38" spans="1:20" x14ac:dyDescent="0.2">
      <c r="I38" s="4"/>
      <c r="J38" s="4"/>
      <c r="K38" s="4"/>
      <c r="L38" s="4"/>
      <c r="M38" s="4"/>
      <c r="N38" s="4"/>
      <c r="O38" s="39"/>
    </row>
    <row r="39" spans="1:20" ht="13.5" hidden="1" thickBot="1" x14ac:dyDescent="0.25">
      <c r="O39" s="39"/>
    </row>
    <row r="40" spans="1:20" ht="13.5" hidden="1" thickBot="1" x14ac:dyDescent="0.25">
      <c r="A40" s="118"/>
      <c r="B40" s="119" t="s">
        <v>9</v>
      </c>
      <c r="C40" s="120"/>
      <c r="D40" s="120"/>
      <c r="E40" s="120"/>
      <c r="F40" s="120"/>
      <c r="G40" s="120"/>
      <c r="H40" s="120"/>
      <c r="I40" s="121"/>
      <c r="J40" s="122"/>
      <c r="K40" s="122"/>
      <c r="L40" s="122"/>
      <c r="M40" s="122"/>
      <c r="N40" s="123"/>
      <c r="O40" s="39"/>
      <c r="Q40" s="39" t="s">
        <v>5</v>
      </c>
      <c r="S40" s="39" t="s">
        <v>6</v>
      </c>
    </row>
    <row r="41" spans="1:20" hidden="1" x14ac:dyDescent="0.2">
      <c r="A41" s="72" t="s">
        <v>10</v>
      </c>
      <c r="B41" s="124" t="s">
        <v>11</v>
      </c>
      <c r="C41" s="125"/>
      <c r="D41" s="125"/>
      <c r="E41" s="125"/>
      <c r="F41" s="125"/>
      <c r="G41" s="125"/>
      <c r="H41" s="125"/>
      <c r="I41" s="126"/>
      <c r="J41" s="127"/>
      <c r="K41" s="127"/>
      <c r="L41" s="127"/>
      <c r="M41" s="127"/>
      <c r="N41" s="128"/>
      <c r="O41" s="39"/>
      <c r="P41" s="39" t="s">
        <v>7</v>
      </c>
      <c r="Q41" s="39">
        <v>59.5</v>
      </c>
      <c r="S41" s="39">
        <v>56.5</v>
      </c>
    </row>
    <row r="42" spans="1:20" hidden="1" x14ac:dyDescent="0.2">
      <c r="A42" s="129"/>
      <c r="B42" s="130" t="s">
        <v>12</v>
      </c>
      <c r="I42" s="131"/>
      <c r="J42" s="100"/>
      <c r="K42" s="100"/>
      <c r="L42" s="100"/>
      <c r="M42" s="100"/>
      <c r="N42" s="132"/>
      <c r="O42" s="39"/>
      <c r="P42" s="133" t="s">
        <v>8</v>
      </c>
      <c r="Q42" s="39">
        <v>3.25</v>
      </c>
      <c r="S42" s="39">
        <v>1.744</v>
      </c>
    </row>
    <row r="43" spans="1:20" ht="13.5" hidden="1" thickBot="1" x14ac:dyDescent="0.25">
      <c r="A43" s="76"/>
      <c r="B43" s="134" t="s">
        <v>13</v>
      </c>
      <c r="C43" s="135"/>
      <c r="D43" s="135"/>
      <c r="E43" s="135"/>
      <c r="F43" s="135"/>
      <c r="G43" s="135"/>
      <c r="H43" s="135"/>
      <c r="I43" s="136"/>
      <c r="J43" s="137"/>
      <c r="K43" s="137"/>
      <c r="L43" s="137"/>
      <c r="M43" s="137"/>
      <c r="N43" s="138"/>
      <c r="O43" s="39"/>
      <c r="P43" s="39" t="s">
        <v>2</v>
      </c>
      <c r="Q43" s="39">
        <v>59.5</v>
      </c>
      <c r="S43" s="10">
        <v>22.91</v>
      </c>
    </row>
    <row r="44" spans="1:20" hidden="1" x14ac:dyDescent="0.2">
      <c r="O44" s="39"/>
    </row>
    <row r="45" spans="1:20" hidden="1" x14ac:dyDescent="0.2">
      <c r="O45" s="39"/>
      <c r="Q45" s="139"/>
      <c r="R45" s="139"/>
      <c r="S45" s="140"/>
    </row>
    <row r="46" spans="1:20" x14ac:dyDescent="0.2">
      <c r="O46" s="39"/>
      <c r="Q46" s="9"/>
      <c r="R46" s="9"/>
      <c r="S46" s="9"/>
    </row>
    <row r="47" spans="1:20" x14ac:dyDescent="0.2">
      <c r="O47" s="39"/>
    </row>
    <row r="48" spans="1:20" x14ac:dyDescent="0.2">
      <c r="I48" s="39"/>
      <c r="O48" s="3"/>
    </row>
    <row r="49" spans="15:15" x14ac:dyDescent="0.2">
      <c r="O49" s="3"/>
    </row>
  </sheetData>
  <pageMargins left="0.7" right="0.7" top="0.75" bottom="0.75" header="0.3" footer="0.3"/>
  <ignoredErrors>
    <ignoredError sqref="R12:S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E477-A73A-4441-994F-2C86060674A3}">
  <sheetPr codeName="Sheet17"/>
  <dimension ref="A1:H325"/>
  <sheetViews>
    <sheetView tabSelected="1" workbookViewId="0">
      <pane ySplit="1" topLeftCell="A199" activePane="bottomLeft" state="frozen"/>
      <selection pane="bottomLeft" activeCell="C1" sqref="C1"/>
    </sheetView>
  </sheetViews>
  <sheetFormatPr defaultRowHeight="15" x14ac:dyDescent="0.25"/>
  <cols>
    <col min="1" max="1" width="7.7109375" style="157" bestFit="1" customWidth="1"/>
    <col min="2" max="2" width="13.140625" bestFit="1" customWidth="1"/>
    <col min="3" max="3" width="14.28515625" bestFit="1" customWidth="1"/>
    <col min="4" max="4" width="23.5703125" bestFit="1" customWidth="1"/>
    <col min="5" max="8" width="11.7109375" style="159" bestFit="1" customWidth="1"/>
  </cols>
  <sheetData>
    <row r="1" spans="1:8" x14ac:dyDescent="0.25">
      <c r="A1" s="156" t="s">
        <v>23</v>
      </c>
      <c r="B1" s="155" t="s">
        <v>111</v>
      </c>
      <c r="C1" s="155" t="s">
        <v>24</v>
      </c>
      <c r="D1" s="155" t="s">
        <v>25</v>
      </c>
      <c r="E1" s="158" t="s">
        <v>109</v>
      </c>
      <c r="F1" s="158" t="s">
        <v>18</v>
      </c>
      <c r="G1" s="158" t="s">
        <v>19</v>
      </c>
      <c r="H1" s="158" t="s">
        <v>20</v>
      </c>
    </row>
    <row r="2" spans="1:8" x14ac:dyDescent="0.25">
      <c r="A2" s="157">
        <v>45596</v>
      </c>
      <c r="B2" t="s">
        <v>112</v>
      </c>
      <c r="C2" t="s">
        <v>101</v>
      </c>
      <c r="D2" t="s">
        <v>29</v>
      </c>
      <c r="E2" s="159">
        <v>72353.847999999998</v>
      </c>
    </row>
    <row r="3" spans="1:8" x14ac:dyDescent="0.25">
      <c r="A3" s="157">
        <v>45626</v>
      </c>
      <c r="B3" t="s">
        <v>112</v>
      </c>
      <c r="C3" t="s">
        <v>101</v>
      </c>
      <c r="D3" t="s">
        <v>29</v>
      </c>
      <c r="E3" s="159">
        <v>70502.478000000003</v>
      </c>
    </row>
    <row r="4" spans="1:8" x14ac:dyDescent="0.25">
      <c r="A4" s="157">
        <v>45656</v>
      </c>
      <c r="B4" t="s">
        <v>112</v>
      </c>
      <c r="C4" t="s">
        <v>101</v>
      </c>
      <c r="D4" t="s">
        <v>29</v>
      </c>
      <c r="E4" s="159">
        <v>76291.781000000003</v>
      </c>
    </row>
    <row r="5" spans="1:8" x14ac:dyDescent="0.25">
      <c r="A5" s="157">
        <v>45687</v>
      </c>
      <c r="B5" t="s">
        <v>112</v>
      </c>
      <c r="C5" t="s">
        <v>101</v>
      </c>
      <c r="D5" t="s">
        <v>29</v>
      </c>
      <c r="E5" s="159">
        <v>70952.100999999995</v>
      </c>
    </row>
    <row r="6" spans="1:8" x14ac:dyDescent="0.25">
      <c r="A6" s="157">
        <v>45716</v>
      </c>
      <c r="B6" t="s">
        <v>112</v>
      </c>
      <c r="C6" t="s">
        <v>101</v>
      </c>
      <c r="D6" t="s">
        <v>29</v>
      </c>
      <c r="E6" s="159">
        <v>62662.083000000006</v>
      </c>
    </row>
    <row r="7" spans="1:8" x14ac:dyDescent="0.25">
      <c r="A7" s="157">
        <v>45744</v>
      </c>
      <c r="B7" t="s">
        <v>112</v>
      </c>
      <c r="C7" t="s">
        <v>101</v>
      </c>
      <c r="D7" t="s">
        <v>29</v>
      </c>
      <c r="E7" s="159">
        <v>74883.62999999999</v>
      </c>
    </row>
    <row r="8" spans="1:8" x14ac:dyDescent="0.25">
      <c r="A8" s="157">
        <v>45775</v>
      </c>
      <c r="B8" t="s">
        <v>112</v>
      </c>
      <c r="C8" t="s">
        <v>101</v>
      </c>
      <c r="D8" t="s">
        <v>29</v>
      </c>
      <c r="E8" s="159">
        <v>74829.498000000007</v>
      </c>
    </row>
    <row r="9" spans="1:8" x14ac:dyDescent="0.25">
      <c r="A9" s="157">
        <v>45805</v>
      </c>
      <c r="B9" t="s">
        <v>112</v>
      </c>
      <c r="C9" t="s">
        <v>101</v>
      </c>
      <c r="D9" t="s">
        <v>29</v>
      </c>
      <c r="E9" s="159">
        <v>76786.120999999999</v>
      </c>
    </row>
    <row r="10" spans="1:8" x14ac:dyDescent="0.25">
      <c r="A10" s="157">
        <v>45836</v>
      </c>
      <c r="B10" t="s">
        <v>112</v>
      </c>
      <c r="C10" t="s">
        <v>101</v>
      </c>
      <c r="D10" t="s">
        <v>29</v>
      </c>
      <c r="E10" s="159">
        <v>78039.753000000012</v>
      </c>
    </row>
    <row r="11" spans="1:8" x14ac:dyDescent="0.25">
      <c r="A11" s="157">
        <v>45866</v>
      </c>
      <c r="B11" t="s">
        <v>112</v>
      </c>
      <c r="C11" t="s">
        <v>101</v>
      </c>
      <c r="D11" t="s">
        <v>29</v>
      </c>
      <c r="E11" s="159">
        <v>69919.451000000001</v>
      </c>
    </row>
    <row r="12" spans="1:8" x14ac:dyDescent="0.25">
      <c r="A12" s="157">
        <v>45897</v>
      </c>
      <c r="B12" t="s">
        <v>112</v>
      </c>
      <c r="C12" t="s">
        <v>101</v>
      </c>
      <c r="D12" t="s">
        <v>29</v>
      </c>
      <c r="E12" s="159">
        <v>71142.206999999995</v>
      </c>
    </row>
    <row r="13" spans="1:8" x14ac:dyDescent="0.25">
      <c r="A13" s="157">
        <v>45928</v>
      </c>
      <c r="B13" t="s">
        <v>112</v>
      </c>
      <c r="C13" t="s">
        <v>101</v>
      </c>
      <c r="D13" t="s">
        <v>29</v>
      </c>
      <c r="E13" s="159">
        <v>76706.796999999991</v>
      </c>
    </row>
    <row r="14" spans="1:8" x14ac:dyDescent="0.25">
      <c r="A14" s="157">
        <v>45596</v>
      </c>
      <c r="B14" t="s">
        <v>112</v>
      </c>
      <c r="C14" t="s">
        <v>101</v>
      </c>
      <c r="D14" t="s">
        <v>102</v>
      </c>
      <c r="E14" s="159">
        <v>4554938.09</v>
      </c>
    </row>
    <row r="15" spans="1:8" x14ac:dyDescent="0.25">
      <c r="A15" s="157">
        <v>45626</v>
      </c>
      <c r="B15" t="s">
        <v>112</v>
      </c>
      <c r="C15" t="s">
        <v>101</v>
      </c>
      <c r="D15" t="s">
        <v>102</v>
      </c>
      <c r="E15" s="159">
        <v>4410882.8499999996</v>
      </c>
    </row>
    <row r="16" spans="1:8" x14ac:dyDescent="0.25">
      <c r="A16" s="157">
        <v>45656</v>
      </c>
      <c r="B16" t="s">
        <v>112</v>
      </c>
      <c r="C16" t="s">
        <v>101</v>
      </c>
      <c r="D16" t="s">
        <v>102</v>
      </c>
      <c r="E16" s="159">
        <v>4784355.49</v>
      </c>
    </row>
    <row r="17" spans="1:5" x14ac:dyDescent="0.25">
      <c r="A17" s="157">
        <v>45687</v>
      </c>
      <c r="B17" t="s">
        <v>112</v>
      </c>
      <c r="C17" t="s">
        <v>101</v>
      </c>
      <c r="D17" t="s">
        <v>102</v>
      </c>
      <c r="E17" s="159">
        <v>4808684.1800000006</v>
      </c>
    </row>
    <row r="18" spans="1:5" x14ac:dyDescent="0.25">
      <c r="A18" s="157">
        <v>45716</v>
      </c>
      <c r="B18" t="s">
        <v>112</v>
      </c>
      <c r="C18" t="s">
        <v>101</v>
      </c>
      <c r="D18" t="s">
        <v>102</v>
      </c>
      <c r="E18" s="159">
        <v>4010354.5</v>
      </c>
    </row>
    <row r="19" spans="1:5" x14ac:dyDescent="0.25">
      <c r="A19" s="157">
        <v>45744</v>
      </c>
      <c r="B19" t="s">
        <v>112</v>
      </c>
      <c r="C19" t="s">
        <v>101</v>
      </c>
      <c r="D19" t="s">
        <v>102</v>
      </c>
      <c r="E19" s="159">
        <v>4443915.3</v>
      </c>
    </row>
    <row r="20" spans="1:5" x14ac:dyDescent="0.25">
      <c r="A20" s="157">
        <v>45775</v>
      </c>
      <c r="B20" t="s">
        <v>112</v>
      </c>
      <c r="C20" t="s">
        <v>101</v>
      </c>
      <c r="D20" t="s">
        <v>102</v>
      </c>
      <c r="E20" s="159">
        <v>4169707.0599999996</v>
      </c>
    </row>
    <row r="21" spans="1:5" x14ac:dyDescent="0.25">
      <c r="A21" s="157">
        <v>45805</v>
      </c>
      <c r="B21" t="s">
        <v>112</v>
      </c>
      <c r="C21" t="s">
        <v>101</v>
      </c>
      <c r="D21" t="s">
        <v>102</v>
      </c>
      <c r="E21" s="159">
        <v>4335379.8600000003</v>
      </c>
    </row>
    <row r="22" spans="1:5" x14ac:dyDescent="0.25">
      <c r="A22" s="157">
        <v>45836</v>
      </c>
      <c r="B22" t="s">
        <v>112</v>
      </c>
      <c r="C22" t="s">
        <v>101</v>
      </c>
      <c r="D22" t="s">
        <v>102</v>
      </c>
      <c r="E22" s="159">
        <v>4928770.3</v>
      </c>
    </row>
    <row r="23" spans="1:5" x14ac:dyDescent="0.25">
      <c r="A23" s="157">
        <v>45866</v>
      </c>
      <c r="B23" t="s">
        <v>112</v>
      </c>
      <c r="C23" t="s">
        <v>101</v>
      </c>
      <c r="D23" t="s">
        <v>102</v>
      </c>
      <c r="E23" s="159">
        <v>4424675.04</v>
      </c>
    </row>
    <row r="24" spans="1:5" x14ac:dyDescent="0.25">
      <c r="A24" s="157">
        <v>45897</v>
      </c>
      <c r="B24" t="s">
        <v>112</v>
      </c>
      <c r="C24" t="s">
        <v>101</v>
      </c>
      <c r="D24" t="s">
        <v>102</v>
      </c>
      <c r="E24" s="159">
        <v>4171704.2899999996</v>
      </c>
    </row>
    <row r="25" spans="1:5" x14ac:dyDescent="0.25">
      <c r="A25" s="157">
        <v>45928</v>
      </c>
      <c r="B25" t="s">
        <v>112</v>
      </c>
      <c r="C25" t="s">
        <v>101</v>
      </c>
      <c r="D25" t="s">
        <v>102</v>
      </c>
      <c r="E25" s="159">
        <v>4342062.49</v>
      </c>
    </row>
    <row r="26" spans="1:5" x14ac:dyDescent="0.25">
      <c r="A26" s="157">
        <v>45596</v>
      </c>
      <c r="B26" t="s">
        <v>112</v>
      </c>
      <c r="C26" t="s">
        <v>101</v>
      </c>
      <c r="D26" t="s">
        <v>0</v>
      </c>
      <c r="E26" s="159">
        <v>62.95</v>
      </c>
    </row>
    <row r="27" spans="1:5" x14ac:dyDescent="0.25">
      <c r="A27" s="157">
        <v>45626</v>
      </c>
      <c r="B27" t="s">
        <v>112</v>
      </c>
      <c r="C27" t="s">
        <v>101</v>
      </c>
      <c r="D27" t="s">
        <v>0</v>
      </c>
      <c r="E27" s="159">
        <v>62.56</v>
      </c>
    </row>
    <row r="28" spans="1:5" x14ac:dyDescent="0.25">
      <c r="A28" s="157">
        <v>45656</v>
      </c>
      <c r="B28" t="s">
        <v>112</v>
      </c>
      <c r="C28" t="s">
        <v>101</v>
      </c>
      <c r="D28" t="s">
        <v>0</v>
      </c>
      <c r="E28" s="159">
        <v>62.71</v>
      </c>
    </row>
    <row r="29" spans="1:5" x14ac:dyDescent="0.25">
      <c r="A29" s="157">
        <v>45687</v>
      </c>
      <c r="B29" t="s">
        <v>112</v>
      </c>
      <c r="C29" t="s">
        <v>101</v>
      </c>
      <c r="D29" t="s">
        <v>0</v>
      </c>
      <c r="E29" s="159">
        <v>67.77</v>
      </c>
    </row>
    <row r="30" spans="1:5" x14ac:dyDescent="0.25">
      <c r="A30" s="157">
        <v>45716</v>
      </c>
      <c r="B30" t="s">
        <v>112</v>
      </c>
      <c r="C30" t="s">
        <v>101</v>
      </c>
      <c r="D30" t="s">
        <v>0</v>
      </c>
      <c r="E30" s="159">
        <v>64</v>
      </c>
    </row>
    <row r="31" spans="1:5" x14ac:dyDescent="0.25">
      <c r="A31" s="157">
        <v>45744</v>
      </c>
      <c r="B31" t="s">
        <v>112</v>
      </c>
      <c r="C31" t="s">
        <v>101</v>
      </c>
      <c r="D31" t="s">
        <v>0</v>
      </c>
      <c r="E31" s="159">
        <v>59.34</v>
      </c>
    </row>
    <row r="32" spans="1:5" x14ac:dyDescent="0.25">
      <c r="A32" s="157">
        <v>45775</v>
      </c>
      <c r="B32" t="s">
        <v>112</v>
      </c>
      <c r="C32" t="s">
        <v>101</v>
      </c>
      <c r="D32" t="s">
        <v>0</v>
      </c>
      <c r="E32" s="159">
        <v>55.72</v>
      </c>
    </row>
    <row r="33" spans="1:5" x14ac:dyDescent="0.25">
      <c r="A33" s="157">
        <v>45805</v>
      </c>
      <c r="B33" t="s">
        <v>112</v>
      </c>
      <c r="C33" t="s">
        <v>101</v>
      </c>
      <c r="D33" t="s">
        <v>0</v>
      </c>
      <c r="E33" s="159">
        <v>56.46</v>
      </c>
    </row>
    <row r="34" spans="1:5" x14ac:dyDescent="0.25">
      <c r="A34" s="157">
        <v>45836</v>
      </c>
      <c r="B34" t="s">
        <v>112</v>
      </c>
      <c r="C34" t="s">
        <v>101</v>
      </c>
      <c r="D34" t="s">
        <v>0</v>
      </c>
      <c r="E34" s="159">
        <v>63.16</v>
      </c>
    </row>
    <row r="35" spans="1:5" x14ac:dyDescent="0.25">
      <c r="A35" s="157">
        <v>45866</v>
      </c>
      <c r="B35" t="s">
        <v>112</v>
      </c>
      <c r="C35" t="s">
        <v>101</v>
      </c>
      <c r="D35" t="s">
        <v>0</v>
      </c>
      <c r="E35" s="159">
        <v>63.28</v>
      </c>
    </row>
    <row r="36" spans="1:5" x14ac:dyDescent="0.25">
      <c r="A36" s="157">
        <v>45897</v>
      </c>
      <c r="B36" t="s">
        <v>112</v>
      </c>
      <c r="C36" t="s">
        <v>101</v>
      </c>
      <c r="D36" t="s">
        <v>0</v>
      </c>
      <c r="E36" s="159">
        <v>58.64</v>
      </c>
    </row>
    <row r="37" spans="1:5" x14ac:dyDescent="0.25">
      <c r="A37" s="157">
        <v>45928</v>
      </c>
      <c r="B37" t="s">
        <v>112</v>
      </c>
      <c r="C37" t="s">
        <v>101</v>
      </c>
      <c r="D37" t="s">
        <v>0</v>
      </c>
      <c r="E37" s="159">
        <v>56.61</v>
      </c>
    </row>
    <row r="38" spans="1:5" x14ac:dyDescent="0.25">
      <c r="A38" s="157">
        <v>45596</v>
      </c>
      <c r="B38" t="s">
        <v>112</v>
      </c>
      <c r="C38" t="s">
        <v>101</v>
      </c>
      <c r="D38" t="s">
        <v>31</v>
      </c>
      <c r="E38" s="159">
        <v>0</v>
      </c>
    </row>
    <row r="39" spans="1:5" x14ac:dyDescent="0.25">
      <c r="A39" s="157">
        <v>45626</v>
      </c>
      <c r="B39" t="s">
        <v>112</v>
      </c>
      <c r="C39" t="s">
        <v>101</v>
      </c>
      <c r="D39" t="s">
        <v>31</v>
      </c>
      <c r="E39" s="159">
        <v>0</v>
      </c>
    </row>
    <row r="40" spans="1:5" x14ac:dyDescent="0.25">
      <c r="A40" s="157">
        <v>45656</v>
      </c>
      <c r="B40" t="s">
        <v>112</v>
      </c>
      <c r="C40" t="s">
        <v>101</v>
      </c>
      <c r="D40" t="s">
        <v>31</v>
      </c>
      <c r="E40" s="159">
        <v>0</v>
      </c>
    </row>
    <row r="41" spans="1:5" x14ac:dyDescent="0.25">
      <c r="A41" s="157">
        <v>45687</v>
      </c>
      <c r="B41" t="s">
        <v>112</v>
      </c>
      <c r="C41" t="s">
        <v>101</v>
      </c>
      <c r="D41" t="s">
        <v>31</v>
      </c>
      <c r="E41" s="159">
        <v>0</v>
      </c>
    </row>
    <row r="42" spans="1:5" x14ac:dyDescent="0.25">
      <c r="A42" s="157">
        <v>45716</v>
      </c>
      <c r="B42" t="s">
        <v>112</v>
      </c>
      <c r="C42" t="s">
        <v>101</v>
      </c>
      <c r="D42" t="s">
        <v>31</v>
      </c>
      <c r="E42" s="159">
        <v>0</v>
      </c>
    </row>
    <row r="43" spans="1:5" x14ac:dyDescent="0.25">
      <c r="A43" s="157">
        <v>45744</v>
      </c>
      <c r="B43" t="s">
        <v>112</v>
      </c>
      <c r="C43" t="s">
        <v>101</v>
      </c>
      <c r="D43" t="s">
        <v>31</v>
      </c>
      <c r="E43" s="159">
        <v>0</v>
      </c>
    </row>
    <row r="44" spans="1:5" x14ac:dyDescent="0.25">
      <c r="A44" s="157">
        <v>45775</v>
      </c>
      <c r="B44" t="s">
        <v>112</v>
      </c>
      <c r="C44" t="s">
        <v>101</v>
      </c>
      <c r="D44" t="s">
        <v>31</v>
      </c>
      <c r="E44" s="159">
        <v>0</v>
      </c>
    </row>
    <row r="45" spans="1:5" x14ac:dyDescent="0.25">
      <c r="A45" s="157">
        <v>45805</v>
      </c>
      <c r="B45" t="s">
        <v>112</v>
      </c>
      <c r="C45" t="s">
        <v>101</v>
      </c>
      <c r="D45" t="s">
        <v>31</v>
      </c>
      <c r="E45" s="159">
        <v>0</v>
      </c>
    </row>
    <row r="46" spans="1:5" x14ac:dyDescent="0.25">
      <c r="A46" s="157">
        <v>45836</v>
      </c>
      <c r="B46" t="s">
        <v>112</v>
      </c>
      <c r="C46" t="s">
        <v>101</v>
      </c>
      <c r="D46" t="s">
        <v>31</v>
      </c>
      <c r="E46" s="159">
        <v>0</v>
      </c>
    </row>
    <row r="47" spans="1:5" x14ac:dyDescent="0.25">
      <c r="A47" s="157">
        <v>45866</v>
      </c>
      <c r="B47" t="s">
        <v>112</v>
      </c>
      <c r="C47" t="s">
        <v>101</v>
      </c>
      <c r="D47" t="s">
        <v>31</v>
      </c>
      <c r="E47" s="159">
        <v>0</v>
      </c>
    </row>
    <row r="48" spans="1:5" x14ac:dyDescent="0.25">
      <c r="A48" s="157">
        <v>45897</v>
      </c>
      <c r="B48" t="s">
        <v>112</v>
      </c>
      <c r="C48" t="s">
        <v>101</v>
      </c>
      <c r="D48" t="s">
        <v>31</v>
      </c>
      <c r="E48" s="159">
        <v>0</v>
      </c>
    </row>
    <row r="49" spans="1:5" x14ac:dyDescent="0.25">
      <c r="A49" s="157">
        <v>45928</v>
      </c>
      <c r="B49" t="s">
        <v>112</v>
      </c>
      <c r="C49" t="s">
        <v>101</v>
      </c>
      <c r="D49" t="s">
        <v>31</v>
      </c>
      <c r="E49" s="159">
        <v>0</v>
      </c>
    </row>
    <row r="50" spans="1:5" x14ac:dyDescent="0.25">
      <c r="A50" s="157">
        <v>45596</v>
      </c>
      <c r="B50" t="s">
        <v>112</v>
      </c>
      <c r="C50" t="s">
        <v>101</v>
      </c>
      <c r="D50" t="s">
        <v>103</v>
      </c>
      <c r="E50" s="159">
        <v>0</v>
      </c>
    </row>
    <row r="51" spans="1:5" x14ac:dyDescent="0.25">
      <c r="A51" s="157">
        <v>45626</v>
      </c>
      <c r="B51" t="s">
        <v>112</v>
      </c>
      <c r="C51" t="s">
        <v>101</v>
      </c>
      <c r="D51" t="s">
        <v>103</v>
      </c>
      <c r="E51" s="159">
        <v>0</v>
      </c>
    </row>
    <row r="52" spans="1:5" x14ac:dyDescent="0.25">
      <c r="A52" s="157">
        <v>45656</v>
      </c>
      <c r="B52" t="s">
        <v>112</v>
      </c>
      <c r="C52" t="s">
        <v>101</v>
      </c>
      <c r="D52" t="s">
        <v>103</v>
      </c>
      <c r="E52" s="159">
        <v>0</v>
      </c>
    </row>
    <row r="53" spans="1:5" x14ac:dyDescent="0.25">
      <c r="A53" s="157">
        <v>45687</v>
      </c>
      <c r="B53" t="s">
        <v>112</v>
      </c>
      <c r="C53" t="s">
        <v>101</v>
      </c>
      <c r="D53" t="s">
        <v>103</v>
      </c>
      <c r="E53" s="159">
        <v>0</v>
      </c>
    </row>
    <row r="54" spans="1:5" x14ac:dyDescent="0.25">
      <c r="A54" s="157">
        <v>45716</v>
      </c>
      <c r="B54" t="s">
        <v>112</v>
      </c>
      <c r="C54" t="s">
        <v>101</v>
      </c>
      <c r="D54" t="s">
        <v>103</v>
      </c>
      <c r="E54" s="159">
        <v>0</v>
      </c>
    </row>
    <row r="55" spans="1:5" x14ac:dyDescent="0.25">
      <c r="A55" s="157">
        <v>45744</v>
      </c>
      <c r="B55" t="s">
        <v>112</v>
      </c>
      <c r="C55" t="s">
        <v>101</v>
      </c>
      <c r="D55" t="s">
        <v>103</v>
      </c>
      <c r="E55" s="159">
        <v>0</v>
      </c>
    </row>
    <row r="56" spans="1:5" x14ac:dyDescent="0.25">
      <c r="A56" s="157">
        <v>45775</v>
      </c>
      <c r="B56" t="s">
        <v>112</v>
      </c>
      <c r="C56" t="s">
        <v>101</v>
      </c>
      <c r="D56" t="s">
        <v>103</v>
      </c>
      <c r="E56" s="159">
        <v>0</v>
      </c>
    </row>
    <row r="57" spans="1:5" x14ac:dyDescent="0.25">
      <c r="A57" s="157">
        <v>45805</v>
      </c>
      <c r="B57" t="s">
        <v>112</v>
      </c>
      <c r="C57" t="s">
        <v>101</v>
      </c>
      <c r="D57" t="s">
        <v>103</v>
      </c>
      <c r="E57" s="159">
        <v>0</v>
      </c>
    </row>
    <row r="58" spans="1:5" x14ac:dyDescent="0.25">
      <c r="A58" s="157">
        <v>45836</v>
      </c>
      <c r="B58" t="s">
        <v>112</v>
      </c>
      <c r="C58" t="s">
        <v>101</v>
      </c>
      <c r="D58" t="s">
        <v>103</v>
      </c>
      <c r="E58" s="159">
        <v>0</v>
      </c>
    </row>
    <row r="59" spans="1:5" x14ac:dyDescent="0.25">
      <c r="A59" s="157">
        <v>45866</v>
      </c>
      <c r="B59" t="s">
        <v>112</v>
      </c>
      <c r="C59" t="s">
        <v>101</v>
      </c>
      <c r="D59" t="s">
        <v>103</v>
      </c>
      <c r="E59" s="159">
        <v>0</v>
      </c>
    </row>
    <row r="60" spans="1:5" x14ac:dyDescent="0.25">
      <c r="A60" s="157">
        <v>45897</v>
      </c>
      <c r="B60" t="s">
        <v>112</v>
      </c>
      <c r="C60" t="s">
        <v>101</v>
      </c>
      <c r="D60" t="s">
        <v>103</v>
      </c>
      <c r="E60" s="159">
        <v>0</v>
      </c>
    </row>
    <row r="61" spans="1:5" x14ac:dyDescent="0.25">
      <c r="A61" s="157">
        <v>45928</v>
      </c>
      <c r="B61" t="s">
        <v>112</v>
      </c>
      <c r="C61" t="s">
        <v>101</v>
      </c>
      <c r="D61" t="s">
        <v>103</v>
      </c>
      <c r="E61" s="159">
        <v>0</v>
      </c>
    </row>
    <row r="62" spans="1:5" x14ac:dyDescent="0.25">
      <c r="A62" s="157">
        <v>45596</v>
      </c>
      <c r="B62" t="s">
        <v>112</v>
      </c>
      <c r="C62" t="s">
        <v>101</v>
      </c>
      <c r="D62" t="s">
        <v>1</v>
      </c>
      <c r="E62" s="159">
        <v>0</v>
      </c>
    </row>
    <row r="63" spans="1:5" x14ac:dyDescent="0.25">
      <c r="A63" s="157">
        <v>45626</v>
      </c>
      <c r="B63" t="s">
        <v>112</v>
      </c>
      <c r="C63" t="s">
        <v>101</v>
      </c>
      <c r="D63" t="s">
        <v>1</v>
      </c>
      <c r="E63" s="159">
        <v>0</v>
      </c>
    </row>
    <row r="64" spans="1:5" x14ac:dyDescent="0.25">
      <c r="A64" s="157">
        <v>45656</v>
      </c>
      <c r="B64" t="s">
        <v>112</v>
      </c>
      <c r="C64" t="s">
        <v>101</v>
      </c>
      <c r="D64" t="s">
        <v>1</v>
      </c>
      <c r="E64" s="159">
        <v>0</v>
      </c>
    </row>
    <row r="65" spans="1:5" x14ac:dyDescent="0.25">
      <c r="A65" s="157">
        <v>45687</v>
      </c>
      <c r="B65" t="s">
        <v>112</v>
      </c>
      <c r="C65" t="s">
        <v>101</v>
      </c>
      <c r="D65" t="s">
        <v>1</v>
      </c>
      <c r="E65" s="159">
        <v>0</v>
      </c>
    </row>
    <row r="66" spans="1:5" x14ac:dyDescent="0.25">
      <c r="A66" s="157">
        <v>45716</v>
      </c>
      <c r="B66" t="s">
        <v>112</v>
      </c>
      <c r="C66" t="s">
        <v>101</v>
      </c>
      <c r="D66" t="s">
        <v>1</v>
      </c>
      <c r="E66" s="159">
        <v>0</v>
      </c>
    </row>
    <row r="67" spans="1:5" x14ac:dyDescent="0.25">
      <c r="A67" s="157">
        <v>45744</v>
      </c>
      <c r="B67" t="s">
        <v>112</v>
      </c>
      <c r="C67" t="s">
        <v>101</v>
      </c>
      <c r="D67" t="s">
        <v>1</v>
      </c>
      <c r="E67" s="159">
        <v>0</v>
      </c>
    </row>
    <row r="68" spans="1:5" x14ac:dyDescent="0.25">
      <c r="A68" s="157">
        <v>45775</v>
      </c>
      <c r="B68" t="s">
        <v>112</v>
      </c>
      <c r="C68" t="s">
        <v>101</v>
      </c>
      <c r="D68" t="s">
        <v>1</v>
      </c>
      <c r="E68" s="159">
        <v>0</v>
      </c>
    </row>
    <row r="69" spans="1:5" x14ac:dyDescent="0.25">
      <c r="A69" s="157">
        <v>45805</v>
      </c>
      <c r="B69" t="s">
        <v>112</v>
      </c>
      <c r="C69" t="s">
        <v>101</v>
      </c>
      <c r="D69" t="s">
        <v>1</v>
      </c>
      <c r="E69" s="159">
        <v>0</v>
      </c>
    </row>
    <row r="70" spans="1:5" x14ac:dyDescent="0.25">
      <c r="A70" s="157">
        <v>45836</v>
      </c>
      <c r="B70" t="s">
        <v>112</v>
      </c>
      <c r="C70" t="s">
        <v>101</v>
      </c>
      <c r="D70" t="s">
        <v>1</v>
      </c>
      <c r="E70" s="159">
        <v>0</v>
      </c>
    </row>
    <row r="71" spans="1:5" x14ac:dyDescent="0.25">
      <c r="A71" s="157">
        <v>45866</v>
      </c>
      <c r="B71" t="s">
        <v>112</v>
      </c>
      <c r="C71" t="s">
        <v>101</v>
      </c>
      <c r="D71" t="s">
        <v>1</v>
      </c>
      <c r="E71" s="159">
        <v>0</v>
      </c>
    </row>
    <row r="72" spans="1:5" x14ac:dyDescent="0.25">
      <c r="A72" s="157">
        <v>45897</v>
      </c>
      <c r="B72" t="s">
        <v>112</v>
      </c>
      <c r="C72" t="s">
        <v>101</v>
      </c>
      <c r="D72" t="s">
        <v>1</v>
      </c>
      <c r="E72" s="159">
        <v>0</v>
      </c>
    </row>
    <row r="73" spans="1:5" x14ac:dyDescent="0.25">
      <c r="A73" s="157">
        <v>45928</v>
      </c>
      <c r="B73" t="s">
        <v>112</v>
      </c>
      <c r="C73" t="s">
        <v>101</v>
      </c>
      <c r="D73" t="s">
        <v>1</v>
      </c>
      <c r="E73" s="159">
        <v>0</v>
      </c>
    </row>
    <row r="74" spans="1:5" x14ac:dyDescent="0.25">
      <c r="A74" s="157">
        <v>45596</v>
      </c>
      <c r="B74" t="s">
        <v>112</v>
      </c>
      <c r="C74" t="s">
        <v>101</v>
      </c>
      <c r="D74" t="s">
        <v>33</v>
      </c>
      <c r="E74" s="159">
        <v>9207.9959999999992</v>
      </c>
    </row>
    <row r="75" spans="1:5" x14ac:dyDescent="0.25">
      <c r="A75" s="157">
        <v>45626</v>
      </c>
      <c r="B75" t="s">
        <v>112</v>
      </c>
      <c r="C75" t="s">
        <v>101</v>
      </c>
      <c r="D75" t="s">
        <v>33</v>
      </c>
      <c r="E75" s="159">
        <v>8723.2340000000004</v>
      </c>
    </row>
    <row r="76" spans="1:5" x14ac:dyDescent="0.25">
      <c r="A76" s="157">
        <v>45656</v>
      </c>
      <c r="B76" t="s">
        <v>112</v>
      </c>
      <c r="C76" t="s">
        <v>101</v>
      </c>
      <c r="D76" t="s">
        <v>33</v>
      </c>
      <c r="E76" s="159">
        <v>8649.8230000000003</v>
      </c>
    </row>
    <row r="77" spans="1:5" x14ac:dyDescent="0.25">
      <c r="A77" s="157">
        <v>45687</v>
      </c>
      <c r="B77" t="s">
        <v>112</v>
      </c>
      <c r="C77" t="s">
        <v>101</v>
      </c>
      <c r="D77" t="s">
        <v>33</v>
      </c>
      <c r="E77" s="159">
        <v>7846.2709999999997</v>
      </c>
    </row>
    <row r="78" spans="1:5" x14ac:dyDescent="0.25">
      <c r="A78" s="157">
        <v>45716</v>
      </c>
      <c r="B78" t="s">
        <v>112</v>
      </c>
      <c r="C78" t="s">
        <v>101</v>
      </c>
      <c r="D78" t="s">
        <v>33</v>
      </c>
      <c r="E78" s="159">
        <v>6166.1799999999994</v>
      </c>
    </row>
    <row r="79" spans="1:5" x14ac:dyDescent="0.25">
      <c r="A79" s="157">
        <v>45744</v>
      </c>
      <c r="B79" t="s">
        <v>112</v>
      </c>
      <c r="C79" t="s">
        <v>101</v>
      </c>
      <c r="D79" t="s">
        <v>33</v>
      </c>
      <c r="E79" s="159">
        <v>8340.9169999999995</v>
      </c>
    </row>
    <row r="80" spans="1:5" x14ac:dyDescent="0.25">
      <c r="A80" s="157">
        <v>45775</v>
      </c>
      <c r="B80" t="s">
        <v>112</v>
      </c>
      <c r="C80" t="s">
        <v>101</v>
      </c>
      <c r="D80" t="s">
        <v>33</v>
      </c>
      <c r="E80" s="159">
        <v>8759.5779999999995</v>
      </c>
    </row>
    <row r="81" spans="1:5" x14ac:dyDescent="0.25">
      <c r="A81" s="157">
        <v>45805</v>
      </c>
      <c r="B81" t="s">
        <v>112</v>
      </c>
      <c r="C81" t="s">
        <v>101</v>
      </c>
      <c r="D81" t="s">
        <v>33</v>
      </c>
      <c r="E81" s="159">
        <v>6530.3360000000002</v>
      </c>
    </row>
    <row r="82" spans="1:5" x14ac:dyDescent="0.25">
      <c r="A82" s="157">
        <v>45836</v>
      </c>
      <c r="B82" t="s">
        <v>112</v>
      </c>
      <c r="C82" t="s">
        <v>101</v>
      </c>
      <c r="D82" t="s">
        <v>33</v>
      </c>
      <c r="E82" s="159">
        <v>11455.539999999999</v>
      </c>
    </row>
    <row r="83" spans="1:5" x14ac:dyDescent="0.25">
      <c r="A83" s="157">
        <v>45866</v>
      </c>
      <c r="B83" t="s">
        <v>112</v>
      </c>
      <c r="C83" t="s">
        <v>101</v>
      </c>
      <c r="D83" t="s">
        <v>33</v>
      </c>
      <c r="E83" s="159">
        <v>2682.9489999999996</v>
      </c>
    </row>
    <row r="84" spans="1:5" x14ac:dyDescent="0.25">
      <c r="A84" s="157">
        <v>45897</v>
      </c>
      <c r="B84" t="s">
        <v>112</v>
      </c>
      <c r="C84" t="s">
        <v>101</v>
      </c>
      <c r="D84" t="s">
        <v>33</v>
      </c>
      <c r="E84" s="159">
        <v>9555.773000000001</v>
      </c>
    </row>
    <row r="85" spans="1:5" x14ac:dyDescent="0.25">
      <c r="A85" s="157">
        <v>45928</v>
      </c>
      <c r="B85" t="s">
        <v>112</v>
      </c>
      <c r="C85" t="s">
        <v>101</v>
      </c>
      <c r="D85" t="s">
        <v>33</v>
      </c>
      <c r="E85" s="159">
        <v>9242.44</v>
      </c>
    </row>
    <row r="86" spans="1:5" x14ac:dyDescent="0.25">
      <c r="A86" s="157">
        <v>45596</v>
      </c>
      <c r="B86" t="s">
        <v>112</v>
      </c>
      <c r="C86" t="s">
        <v>101</v>
      </c>
      <c r="D86" t="s">
        <v>104</v>
      </c>
      <c r="E86" s="159">
        <v>506236.61</v>
      </c>
    </row>
    <row r="87" spans="1:5" x14ac:dyDescent="0.25">
      <c r="A87" s="157">
        <v>45626</v>
      </c>
      <c r="B87" t="s">
        <v>112</v>
      </c>
      <c r="C87" t="s">
        <v>101</v>
      </c>
      <c r="D87" t="s">
        <v>104</v>
      </c>
      <c r="E87" s="159">
        <v>486197.25</v>
      </c>
    </row>
    <row r="88" spans="1:5" x14ac:dyDescent="0.25">
      <c r="A88" s="157">
        <v>45656</v>
      </c>
      <c r="B88" t="s">
        <v>112</v>
      </c>
      <c r="C88" t="s">
        <v>101</v>
      </c>
      <c r="D88" t="s">
        <v>104</v>
      </c>
      <c r="E88" s="159">
        <v>466767.58999999997</v>
      </c>
    </row>
    <row r="89" spans="1:5" x14ac:dyDescent="0.25">
      <c r="A89" s="157">
        <v>45687</v>
      </c>
      <c r="B89" t="s">
        <v>112</v>
      </c>
      <c r="C89" t="s">
        <v>101</v>
      </c>
      <c r="D89" t="s">
        <v>104</v>
      </c>
      <c r="E89" s="159">
        <v>453514.62</v>
      </c>
    </row>
    <row r="90" spans="1:5" x14ac:dyDescent="0.25">
      <c r="A90" s="157">
        <v>45716</v>
      </c>
      <c r="B90" t="s">
        <v>112</v>
      </c>
      <c r="C90" t="s">
        <v>101</v>
      </c>
      <c r="D90" t="s">
        <v>104</v>
      </c>
      <c r="E90" s="159">
        <v>329502.50999999995</v>
      </c>
    </row>
    <row r="91" spans="1:5" x14ac:dyDescent="0.25">
      <c r="A91" s="157">
        <v>45744</v>
      </c>
      <c r="B91" t="s">
        <v>112</v>
      </c>
      <c r="C91" t="s">
        <v>101</v>
      </c>
      <c r="D91" t="s">
        <v>104</v>
      </c>
      <c r="E91" s="159">
        <v>431592.81</v>
      </c>
    </row>
    <row r="92" spans="1:5" x14ac:dyDescent="0.25">
      <c r="A92" s="157">
        <v>45775</v>
      </c>
      <c r="B92" t="s">
        <v>112</v>
      </c>
      <c r="C92" t="s">
        <v>101</v>
      </c>
      <c r="D92" t="s">
        <v>104</v>
      </c>
      <c r="E92" s="159">
        <v>423339.83</v>
      </c>
    </row>
    <row r="93" spans="1:5" x14ac:dyDescent="0.25">
      <c r="A93" s="157">
        <v>45805</v>
      </c>
      <c r="B93" t="s">
        <v>112</v>
      </c>
      <c r="C93" t="s">
        <v>101</v>
      </c>
      <c r="D93" t="s">
        <v>104</v>
      </c>
      <c r="E93" s="159">
        <v>314637.75</v>
      </c>
    </row>
    <row r="94" spans="1:5" x14ac:dyDescent="0.25">
      <c r="A94" s="157">
        <v>45836</v>
      </c>
      <c r="B94" t="s">
        <v>112</v>
      </c>
      <c r="C94" t="s">
        <v>101</v>
      </c>
      <c r="D94" t="s">
        <v>104</v>
      </c>
      <c r="E94" s="159">
        <v>543535.02</v>
      </c>
    </row>
    <row r="95" spans="1:5" x14ac:dyDescent="0.25">
      <c r="A95" s="157">
        <v>45866</v>
      </c>
      <c r="B95" t="s">
        <v>112</v>
      </c>
      <c r="C95" t="s">
        <v>101</v>
      </c>
      <c r="D95" t="s">
        <v>104</v>
      </c>
      <c r="E95" s="159">
        <v>121273.23</v>
      </c>
    </row>
    <row r="96" spans="1:5" x14ac:dyDescent="0.25">
      <c r="A96" s="157">
        <v>45897</v>
      </c>
      <c r="B96" t="s">
        <v>112</v>
      </c>
      <c r="C96" t="s">
        <v>101</v>
      </c>
      <c r="D96" t="s">
        <v>104</v>
      </c>
      <c r="E96" s="159">
        <v>456105.65</v>
      </c>
    </row>
    <row r="97" spans="1:5" x14ac:dyDescent="0.25">
      <c r="A97" s="157">
        <v>45928</v>
      </c>
      <c r="B97" t="s">
        <v>112</v>
      </c>
      <c r="C97" t="s">
        <v>101</v>
      </c>
      <c r="D97" t="s">
        <v>104</v>
      </c>
      <c r="E97" s="159">
        <v>438200.51999999996</v>
      </c>
    </row>
    <row r="98" spans="1:5" x14ac:dyDescent="0.25">
      <c r="A98" s="157">
        <v>45596</v>
      </c>
      <c r="B98" t="s">
        <v>112</v>
      </c>
      <c r="C98" t="s">
        <v>101</v>
      </c>
      <c r="D98" t="s">
        <v>22</v>
      </c>
      <c r="E98" s="159">
        <v>54.98</v>
      </c>
    </row>
    <row r="99" spans="1:5" x14ac:dyDescent="0.25">
      <c r="A99" s="157">
        <v>45626</v>
      </c>
      <c r="B99" t="s">
        <v>112</v>
      </c>
      <c r="C99" t="s">
        <v>101</v>
      </c>
      <c r="D99" t="s">
        <v>22</v>
      </c>
      <c r="E99" s="159">
        <v>55.74</v>
      </c>
    </row>
    <row r="100" spans="1:5" x14ac:dyDescent="0.25">
      <c r="A100" s="157">
        <v>45656</v>
      </c>
      <c r="B100" t="s">
        <v>112</v>
      </c>
      <c r="C100" t="s">
        <v>101</v>
      </c>
      <c r="D100" t="s">
        <v>22</v>
      </c>
      <c r="E100" s="159">
        <v>53.96</v>
      </c>
    </row>
    <row r="101" spans="1:5" x14ac:dyDescent="0.25">
      <c r="A101" s="157">
        <v>45687</v>
      </c>
      <c r="B101" t="s">
        <v>112</v>
      </c>
      <c r="C101" t="s">
        <v>101</v>
      </c>
      <c r="D101" t="s">
        <v>22</v>
      </c>
      <c r="E101" s="159">
        <v>57.8</v>
      </c>
    </row>
    <row r="102" spans="1:5" x14ac:dyDescent="0.25">
      <c r="A102" s="157">
        <v>45716</v>
      </c>
      <c r="B102" t="s">
        <v>112</v>
      </c>
      <c r="C102" t="s">
        <v>101</v>
      </c>
      <c r="D102" t="s">
        <v>22</v>
      </c>
      <c r="E102" s="159">
        <v>53.44</v>
      </c>
    </row>
    <row r="103" spans="1:5" x14ac:dyDescent="0.25">
      <c r="A103" s="157">
        <v>45744</v>
      </c>
      <c r="B103" t="s">
        <v>112</v>
      </c>
      <c r="C103" t="s">
        <v>101</v>
      </c>
      <c r="D103" t="s">
        <v>22</v>
      </c>
      <c r="E103" s="159">
        <v>51.74</v>
      </c>
    </row>
    <row r="104" spans="1:5" x14ac:dyDescent="0.25">
      <c r="A104" s="157">
        <v>45775</v>
      </c>
      <c r="B104" t="s">
        <v>112</v>
      </c>
      <c r="C104" t="s">
        <v>101</v>
      </c>
      <c r="D104" t="s">
        <v>22</v>
      </c>
      <c r="E104" s="159">
        <v>48.33</v>
      </c>
    </row>
    <row r="105" spans="1:5" x14ac:dyDescent="0.25">
      <c r="A105" s="157">
        <v>45805</v>
      </c>
      <c r="B105" t="s">
        <v>112</v>
      </c>
      <c r="C105" t="s">
        <v>101</v>
      </c>
      <c r="D105" t="s">
        <v>22</v>
      </c>
      <c r="E105" s="159">
        <v>48.18</v>
      </c>
    </row>
    <row r="106" spans="1:5" x14ac:dyDescent="0.25">
      <c r="A106" s="157">
        <v>45836</v>
      </c>
      <c r="B106" t="s">
        <v>112</v>
      </c>
      <c r="C106" t="s">
        <v>101</v>
      </c>
      <c r="D106" t="s">
        <v>22</v>
      </c>
      <c r="E106" s="159">
        <v>47.45</v>
      </c>
    </row>
    <row r="107" spans="1:5" x14ac:dyDescent="0.25">
      <c r="A107" s="157">
        <v>45866</v>
      </c>
      <c r="B107" t="s">
        <v>112</v>
      </c>
      <c r="C107" t="s">
        <v>101</v>
      </c>
      <c r="D107" t="s">
        <v>22</v>
      </c>
      <c r="E107" s="159">
        <v>45.2</v>
      </c>
    </row>
    <row r="108" spans="1:5" x14ac:dyDescent="0.25">
      <c r="A108" s="157">
        <v>45897</v>
      </c>
      <c r="B108" t="s">
        <v>112</v>
      </c>
      <c r="C108" t="s">
        <v>101</v>
      </c>
      <c r="D108" t="s">
        <v>22</v>
      </c>
      <c r="E108" s="159">
        <v>47.73</v>
      </c>
    </row>
    <row r="109" spans="1:5" x14ac:dyDescent="0.25">
      <c r="A109" s="157">
        <v>45928</v>
      </c>
      <c r="B109" t="s">
        <v>112</v>
      </c>
      <c r="C109" t="s">
        <v>101</v>
      </c>
      <c r="D109" t="s">
        <v>22</v>
      </c>
      <c r="E109" s="159">
        <v>47.41</v>
      </c>
    </row>
    <row r="110" spans="1:5" x14ac:dyDescent="0.25">
      <c r="A110" s="157">
        <v>45596</v>
      </c>
      <c r="B110" t="s">
        <v>112</v>
      </c>
      <c r="C110" t="s">
        <v>21</v>
      </c>
      <c r="D110" t="s">
        <v>3</v>
      </c>
      <c r="E110" s="159">
        <v>71.989999999999995</v>
      </c>
    </row>
    <row r="111" spans="1:5" x14ac:dyDescent="0.25">
      <c r="A111" s="157">
        <v>45626</v>
      </c>
      <c r="B111" t="s">
        <v>112</v>
      </c>
      <c r="C111" t="s">
        <v>21</v>
      </c>
      <c r="D111" t="s">
        <v>3</v>
      </c>
      <c r="E111" s="159">
        <v>69.95</v>
      </c>
    </row>
    <row r="112" spans="1:5" x14ac:dyDescent="0.25">
      <c r="A112" s="157">
        <v>45656</v>
      </c>
      <c r="B112" t="s">
        <v>112</v>
      </c>
      <c r="C112" t="s">
        <v>21</v>
      </c>
      <c r="D112" t="s">
        <v>3</v>
      </c>
      <c r="E112" s="159">
        <v>70.12</v>
      </c>
    </row>
    <row r="113" spans="1:5" x14ac:dyDescent="0.25">
      <c r="A113" s="157">
        <v>45687</v>
      </c>
      <c r="B113" t="s">
        <v>112</v>
      </c>
      <c r="C113" t="s">
        <v>21</v>
      </c>
      <c r="D113" t="s">
        <v>3</v>
      </c>
      <c r="E113" s="159">
        <v>75.739999999999995</v>
      </c>
    </row>
    <row r="114" spans="1:5" x14ac:dyDescent="0.25">
      <c r="A114" s="157">
        <v>45716</v>
      </c>
      <c r="B114" t="s">
        <v>112</v>
      </c>
      <c r="C114" t="s">
        <v>21</v>
      </c>
      <c r="D114" t="s">
        <v>3</v>
      </c>
      <c r="E114" s="159">
        <v>71.53</v>
      </c>
    </row>
    <row r="115" spans="1:5" x14ac:dyDescent="0.25">
      <c r="A115" s="157">
        <v>45744</v>
      </c>
      <c r="B115" t="s">
        <v>112</v>
      </c>
      <c r="C115" t="s">
        <v>21</v>
      </c>
      <c r="D115" t="s">
        <v>3</v>
      </c>
      <c r="E115" s="159">
        <v>68.239999999999995</v>
      </c>
    </row>
    <row r="116" spans="1:5" x14ac:dyDescent="0.25">
      <c r="A116" s="157">
        <v>45775</v>
      </c>
      <c r="B116" t="s">
        <v>112</v>
      </c>
      <c r="C116" t="s">
        <v>21</v>
      </c>
      <c r="D116" t="s">
        <v>3</v>
      </c>
      <c r="E116" s="159">
        <v>63.54</v>
      </c>
    </row>
    <row r="117" spans="1:5" x14ac:dyDescent="0.25">
      <c r="A117" s="157">
        <v>45805</v>
      </c>
      <c r="B117" t="s">
        <v>112</v>
      </c>
      <c r="C117" t="s">
        <v>21</v>
      </c>
      <c r="D117" t="s">
        <v>3</v>
      </c>
      <c r="E117" s="159">
        <v>62.17</v>
      </c>
    </row>
    <row r="118" spans="1:5" x14ac:dyDescent="0.25">
      <c r="A118" s="157">
        <v>45836</v>
      </c>
      <c r="B118" t="s">
        <v>112</v>
      </c>
      <c r="C118" t="s">
        <v>21</v>
      </c>
      <c r="D118" t="s">
        <v>3</v>
      </c>
      <c r="E118" s="159">
        <v>68.17</v>
      </c>
    </row>
    <row r="119" spans="1:5" x14ac:dyDescent="0.25">
      <c r="A119" s="157">
        <v>45866</v>
      </c>
      <c r="B119" t="s">
        <v>112</v>
      </c>
      <c r="C119" t="s">
        <v>21</v>
      </c>
      <c r="D119" t="s">
        <v>3</v>
      </c>
      <c r="E119" s="159">
        <v>68.39</v>
      </c>
    </row>
    <row r="120" spans="1:5" x14ac:dyDescent="0.25">
      <c r="A120" s="157">
        <v>45897</v>
      </c>
      <c r="B120" t="s">
        <v>112</v>
      </c>
      <c r="C120" t="s">
        <v>21</v>
      </c>
      <c r="D120" t="s">
        <v>3</v>
      </c>
      <c r="E120" s="159">
        <v>64.86</v>
      </c>
    </row>
    <row r="121" spans="1:5" x14ac:dyDescent="0.25">
      <c r="A121" s="157">
        <v>45928</v>
      </c>
      <c r="B121" t="s">
        <v>112</v>
      </c>
      <c r="C121" t="s">
        <v>21</v>
      </c>
      <c r="D121" t="s">
        <v>3</v>
      </c>
      <c r="E121" s="159">
        <v>63.96</v>
      </c>
    </row>
    <row r="122" spans="1:5" x14ac:dyDescent="0.25">
      <c r="A122" s="157">
        <v>45596</v>
      </c>
      <c r="B122" t="s">
        <v>112</v>
      </c>
      <c r="C122" t="s">
        <v>21</v>
      </c>
      <c r="D122" t="s">
        <v>4</v>
      </c>
      <c r="E122" s="159">
        <v>2.2000000000000002</v>
      </c>
    </row>
    <row r="123" spans="1:5" x14ac:dyDescent="0.25">
      <c r="A123" s="157">
        <v>45626</v>
      </c>
      <c r="B123" t="s">
        <v>112</v>
      </c>
      <c r="C123" t="s">
        <v>21</v>
      </c>
      <c r="D123" t="s">
        <v>4</v>
      </c>
      <c r="E123" s="159">
        <v>2.12</v>
      </c>
    </row>
    <row r="124" spans="1:5" x14ac:dyDescent="0.25">
      <c r="A124" s="157">
        <v>45656</v>
      </c>
      <c r="B124" t="s">
        <v>112</v>
      </c>
      <c r="C124" t="s">
        <v>21</v>
      </c>
      <c r="D124" t="s">
        <v>4</v>
      </c>
      <c r="E124" s="159">
        <v>3.01</v>
      </c>
    </row>
    <row r="125" spans="1:5" x14ac:dyDescent="0.25">
      <c r="A125" s="157">
        <v>45687</v>
      </c>
      <c r="B125" t="s">
        <v>112</v>
      </c>
      <c r="C125" t="s">
        <v>21</v>
      </c>
      <c r="D125" t="s">
        <v>4</v>
      </c>
      <c r="E125" s="159">
        <v>4.13</v>
      </c>
    </row>
    <row r="126" spans="1:5" x14ac:dyDescent="0.25">
      <c r="A126" s="157">
        <v>45716</v>
      </c>
      <c r="B126" t="s">
        <v>112</v>
      </c>
      <c r="C126" t="s">
        <v>21</v>
      </c>
      <c r="D126" t="s">
        <v>4</v>
      </c>
      <c r="E126" s="159">
        <v>4.1900000000000004</v>
      </c>
    </row>
    <row r="127" spans="1:5" x14ac:dyDescent="0.25">
      <c r="A127" s="157">
        <v>45744</v>
      </c>
      <c r="B127" t="s">
        <v>112</v>
      </c>
      <c r="C127" t="s">
        <v>21</v>
      </c>
      <c r="D127" t="s">
        <v>4</v>
      </c>
      <c r="E127" s="159">
        <v>4.12</v>
      </c>
    </row>
    <row r="128" spans="1:5" x14ac:dyDescent="0.25">
      <c r="A128" s="157">
        <v>45775</v>
      </c>
      <c r="B128" t="s">
        <v>112</v>
      </c>
      <c r="C128" t="s">
        <v>21</v>
      </c>
      <c r="D128" t="s">
        <v>4</v>
      </c>
      <c r="E128" s="159">
        <v>3.42</v>
      </c>
    </row>
    <row r="129" spans="1:5" x14ac:dyDescent="0.25">
      <c r="A129" s="157">
        <v>45805</v>
      </c>
      <c r="B129" t="s">
        <v>112</v>
      </c>
      <c r="C129" t="s">
        <v>21</v>
      </c>
      <c r="D129" t="s">
        <v>4</v>
      </c>
      <c r="E129" s="159">
        <v>3.12</v>
      </c>
    </row>
    <row r="130" spans="1:5" x14ac:dyDescent="0.25">
      <c r="A130" s="157">
        <v>45836</v>
      </c>
      <c r="B130" t="s">
        <v>112</v>
      </c>
      <c r="C130" t="s">
        <v>21</v>
      </c>
      <c r="D130" t="s">
        <v>4</v>
      </c>
      <c r="E130" s="159">
        <v>3.02</v>
      </c>
    </row>
    <row r="131" spans="1:5" x14ac:dyDescent="0.25">
      <c r="A131" s="157">
        <v>45866</v>
      </c>
      <c r="B131" t="s">
        <v>112</v>
      </c>
      <c r="C131" t="s">
        <v>21</v>
      </c>
      <c r="D131" t="s">
        <v>4</v>
      </c>
      <c r="E131" s="159">
        <v>3.2</v>
      </c>
    </row>
    <row r="132" spans="1:5" x14ac:dyDescent="0.25">
      <c r="A132" s="157">
        <v>45897</v>
      </c>
      <c r="B132" t="s">
        <v>112</v>
      </c>
      <c r="C132" t="s">
        <v>21</v>
      </c>
      <c r="D132" t="s">
        <v>4</v>
      </c>
      <c r="E132" s="159">
        <v>2.91</v>
      </c>
    </row>
    <row r="133" spans="1:5" x14ac:dyDescent="0.25">
      <c r="A133" s="157">
        <v>45928</v>
      </c>
      <c r="B133" t="s">
        <v>112</v>
      </c>
      <c r="C133" t="s">
        <v>21</v>
      </c>
      <c r="D133" t="s">
        <v>4</v>
      </c>
      <c r="E133" s="159">
        <v>2.97</v>
      </c>
    </row>
    <row r="134" spans="1:5" x14ac:dyDescent="0.25">
      <c r="A134" s="157">
        <v>45596</v>
      </c>
      <c r="B134" t="s">
        <v>112</v>
      </c>
      <c r="C134" t="s">
        <v>105</v>
      </c>
      <c r="D134" t="s">
        <v>106</v>
      </c>
      <c r="E134" s="159">
        <v>-9.0399999999999991</v>
      </c>
    </row>
    <row r="135" spans="1:5" x14ac:dyDescent="0.25">
      <c r="A135" s="157">
        <v>45626</v>
      </c>
      <c r="B135" t="s">
        <v>112</v>
      </c>
      <c r="C135" t="s">
        <v>105</v>
      </c>
      <c r="D135" t="s">
        <v>106</v>
      </c>
      <c r="E135" s="159">
        <v>-7.39</v>
      </c>
    </row>
    <row r="136" spans="1:5" x14ac:dyDescent="0.25">
      <c r="A136" s="157">
        <v>45656</v>
      </c>
      <c r="B136" t="s">
        <v>112</v>
      </c>
      <c r="C136" t="s">
        <v>105</v>
      </c>
      <c r="D136" t="s">
        <v>106</v>
      </c>
      <c r="E136" s="159">
        <v>-7.41</v>
      </c>
    </row>
    <row r="137" spans="1:5" x14ac:dyDescent="0.25">
      <c r="A137" s="157">
        <v>45687</v>
      </c>
      <c r="B137" t="s">
        <v>112</v>
      </c>
      <c r="C137" t="s">
        <v>105</v>
      </c>
      <c r="D137" t="s">
        <v>106</v>
      </c>
      <c r="E137" s="159">
        <v>-7.97</v>
      </c>
    </row>
    <row r="138" spans="1:5" x14ac:dyDescent="0.25">
      <c r="A138" s="157">
        <v>45716</v>
      </c>
      <c r="B138" t="s">
        <v>112</v>
      </c>
      <c r="C138" t="s">
        <v>105</v>
      </c>
      <c r="D138" t="s">
        <v>106</v>
      </c>
      <c r="E138" s="159">
        <v>-7.53</v>
      </c>
    </row>
    <row r="139" spans="1:5" x14ac:dyDescent="0.25">
      <c r="A139" s="157">
        <v>45744</v>
      </c>
      <c r="B139" t="s">
        <v>112</v>
      </c>
      <c r="C139" t="s">
        <v>105</v>
      </c>
      <c r="D139" t="s">
        <v>106</v>
      </c>
      <c r="E139" s="159">
        <v>-8.9</v>
      </c>
    </row>
    <row r="140" spans="1:5" x14ac:dyDescent="0.25">
      <c r="A140" s="157">
        <v>45775</v>
      </c>
      <c r="B140" t="s">
        <v>112</v>
      </c>
      <c r="C140" t="s">
        <v>105</v>
      </c>
      <c r="D140" t="s">
        <v>106</v>
      </c>
      <c r="E140" s="159">
        <v>-7.82</v>
      </c>
    </row>
    <row r="141" spans="1:5" x14ac:dyDescent="0.25">
      <c r="A141" s="157">
        <v>45805</v>
      </c>
      <c r="B141" t="s">
        <v>112</v>
      </c>
      <c r="C141" t="s">
        <v>105</v>
      </c>
      <c r="D141" t="s">
        <v>106</v>
      </c>
      <c r="E141" s="159">
        <v>-5.71</v>
      </c>
    </row>
    <row r="142" spans="1:5" x14ac:dyDescent="0.25">
      <c r="A142" s="157">
        <v>45836</v>
      </c>
      <c r="B142" t="s">
        <v>112</v>
      </c>
      <c r="C142" t="s">
        <v>105</v>
      </c>
      <c r="D142" t="s">
        <v>106</v>
      </c>
      <c r="E142" s="159">
        <v>-5.01</v>
      </c>
    </row>
    <row r="143" spans="1:5" x14ac:dyDescent="0.25">
      <c r="A143" s="157">
        <v>45866</v>
      </c>
      <c r="B143" t="s">
        <v>112</v>
      </c>
      <c r="C143" t="s">
        <v>105</v>
      </c>
      <c r="D143" t="s">
        <v>106</v>
      </c>
      <c r="E143" s="159">
        <v>-5.1100000000000003</v>
      </c>
    </row>
    <row r="144" spans="1:5" x14ac:dyDescent="0.25">
      <c r="A144" s="157">
        <v>45897</v>
      </c>
      <c r="B144" t="s">
        <v>112</v>
      </c>
      <c r="C144" t="s">
        <v>105</v>
      </c>
      <c r="D144" t="s">
        <v>106</v>
      </c>
      <c r="E144" s="159">
        <v>-6.22</v>
      </c>
    </row>
    <row r="145" spans="1:5" x14ac:dyDescent="0.25">
      <c r="A145" s="157">
        <v>45928</v>
      </c>
      <c r="B145" t="s">
        <v>112</v>
      </c>
      <c r="C145" t="s">
        <v>105</v>
      </c>
      <c r="D145" t="s">
        <v>106</v>
      </c>
      <c r="E145" s="159">
        <v>-7.35</v>
      </c>
    </row>
    <row r="146" spans="1:5" x14ac:dyDescent="0.25">
      <c r="A146" s="157">
        <v>45596</v>
      </c>
      <c r="B146" t="s">
        <v>112</v>
      </c>
      <c r="C146" t="s">
        <v>105</v>
      </c>
      <c r="D146" t="s">
        <v>107</v>
      </c>
      <c r="E146" s="159">
        <v>0</v>
      </c>
    </row>
    <row r="147" spans="1:5" x14ac:dyDescent="0.25">
      <c r="A147" s="157">
        <v>45626</v>
      </c>
      <c r="B147" t="s">
        <v>112</v>
      </c>
      <c r="C147" t="s">
        <v>105</v>
      </c>
      <c r="D147" t="s">
        <v>107</v>
      </c>
      <c r="E147" s="159">
        <v>0</v>
      </c>
    </row>
    <row r="148" spans="1:5" x14ac:dyDescent="0.25">
      <c r="A148" s="157">
        <v>45656</v>
      </c>
      <c r="B148" t="s">
        <v>112</v>
      </c>
      <c r="C148" t="s">
        <v>105</v>
      </c>
      <c r="D148" t="s">
        <v>107</v>
      </c>
      <c r="E148" s="159">
        <v>0</v>
      </c>
    </row>
    <row r="149" spans="1:5" x14ac:dyDescent="0.25">
      <c r="A149" s="157">
        <v>45687</v>
      </c>
      <c r="B149" t="s">
        <v>112</v>
      </c>
      <c r="C149" t="s">
        <v>105</v>
      </c>
      <c r="D149" t="s">
        <v>107</v>
      </c>
      <c r="E149" s="159">
        <v>0</v>
      </c>
    </row>
    <row r="150" spans="1:5" x14ac:dyDescent="0.25">
      <c r="A150" s="157">
        <v>45716</v>
      </c>
      <c r="B150" t="s">
        <v>112</v>
      </c>
      <c r="C150" t="s">
        <v>105</v>
      </c>
      <c r="D150" t="s">
        <v>107</v>
      </c>
      <c r="E150" s="159">
        <v>0</v>
      </c>
    </row>
    <row r="151" spans="1:5" x14ac:dyDescent="0.25">
      <c r="A151" s="157">
        <v>45744</v>
      </c>
      <c r="B151" t="s">
        <v>112</v>
      </c>
      <c r="C151" t="s">
        <v>105</v>
      </c>
      <c r="D151" t="s">
        <v>107</v>
      </c>
      <c r="E151" s="159">
        <v>0</v>
      </c>
    </row>
    <row r="152" spans="1:5" x14ac:dyDescent="0.25">
      <c r="A152" s="157">
        <v>45775</v>
      </c>
      <c r="B152" t="s">
        <v>112</v>
      </c>
      <c r="C152" t="s">
        <v>105</v>
      </c>
      <c r="D152" t="s">
        <v>107</v>
      </c>
      <c r="E152" s="159">
        <v>0</v>
      </c>
    </row>
    <row r="153" spans="1:5" x14ac:dyDescent="0.25">
      <c r="A153" s="157">
        <v>45805</v>
      </c>
      <c r="B153" t="s">
        <v>112</v>
      </c>
      <c r="C153" t="s">
        <v>105</v>
      </c>
      <c r="D153" t="s">
        <v>107</v>
      </c>
      <c r="E153" s="159">
        <v>0</v>
      </c>
    </row>
    <row r="154" spans="1:5" x14ac:dyDescent="0.25">
      <c r="A154" s="157">
        <v>45836</v>
      </c>
      <c r="B154" t="s">
        <v>112</v>
      </c>
      <c r="C154" t="s">
        <v>105</v>
      </c>
      <c r="D154" t="s">
        <v>107</v>
      </c>
      <c r="E154" s="159">
        <v>0</v>
      </c>
    </row>
    <row r="155" spans="1:5" x14ac:dyDescent="0.25">
      <c r="A155" s="157">
        <v>45866</v>
      </c>
      <c r="B155" t="s">
        <v>112</v>
      </c>
      <c r="C155" t="s">
        <v>105</v>
      </c>
      <c r="D155" t="s">
        <v>107</v>
      </c>
      <c r="E155" s="159">
        <v>0</v>
      </c>
    </row>
    <row r="156" spans="1:5" x14ac:dyDescent="0.25">
      <c r="A156" s="157">
        <v>45897</v>
      </c>
      <c r="B156" t="s">
        <v>112</v>
      </c>
      <c r="C156" t="s">
        <v>105</v>
      </c>
      <c r="D156" t="s">
        <v>107</v>
      </c>
      <c r="E156" s="159">
        <v>0</v>
      </c>
    </row>
    <row r="157" spans="1:5" x14ac:dyDescent="0.25">
      <c r="A157" s="157">
        <v>45928</v>
      </c>
      <c r="B157" t="s">
        <v>112</v>
      </c>
      <c r="C157" t="s">
        <v>105</v>
      </c>
      <c r="D157" t="s">
        <v>107</v>
      </c>
      <c r="E157" s="159">
        <v>0</v>
      </c>
    </row>
    <row r="158" spans="1:5" x14ac:dyDescent="0.25">
      <c r="A158" s="157">
        <v>45596</v>
      </c>
      <c r="B158" t="s">
        <v>112</v>
      </c>
      <c r="C158" t="s">
        <v>105</v>
      </c>
      <c r="D158" t="s">
        <v>108</v>
      </c>
      <c r="E158" s="159">
        <v>0.76368850508810349</v>
      </c>
    </row>
    <row r="159" spans="1:5" x14ac:dyDescent="0.25">
      <c r="A159" s="157">
        <v>45626</v>
      </c>
      <c r="B159" t="s">
        <v>112</v>
      </c>
      <c r="C159" t="s">
        <v>105</v>
      </c>
      <c r="D159" t="s">
        <v>108</v>
      </c>
      <c r="E159" s="159">
        <v>0.79679620455823352</v>
      </c>
    </row>
    <row r="160" spans="1:5" x14ac:dyDescent="0.25">
      <c r="A160" s="157">
        <v>45656</v>
      </c>
      <c r="B160" t="s">
        <v>112</v>
      </c>
      <c r="C160" t="s">
        <v>105</v>
      </c>
      <c r="D160" t="s">
        <v>108</v>
      </c>
      <c r="E160" s="159">
        <v>0.7695760882146363</v>
      </c>
    </row>
    <row r="161" spans="1:5" x14ac:dyDescent="0.25">
      <c r="A161" s="157">
        <v>45687</v>
      </c>
      <c r="B161" t="s">
        <v>112</v>
      </c>
      <c r="C161" t="s">
        <v>105</v>
      </c>
      <c r="D161" t="s">
        <v>108</v>
      </c>
      <c r="E161" s="159">
        <v>0.76313731063567336</v>
      </c>
    </row>
    <row r="162" spans="1:5" x14ac:dyDescent="0.25">
      <c r="A162" s="157">
        <v>45716</v>
      </c>
      <c r="B162" t="s">
        <v>112</v>
      </c>
      <c r="C162" t="s">
        <v>105</v>
      </c>
      <c r="D162" t="s">
        <v>108</v>
      </c>
      <c r="E162" s="159">
        <v>0.7470579708402183</v>
      </c>
    </row>
    <row r="163" spans="1:5" x14ac:dyDescent="0.25">
      <c r="A163" s="157">
        <v>45744</v>
      </c>
      <c r="B163" t="s">
        <v>112</v>
      </c>
      <c r="C163" t="s">
        <v>105</v>
      </c>
      <c r="D163" t="s">
        <v>108</v>
      </c>
      <c r="E163" s="159">
        <v>0.75826565132643253</v>
      </c>
    </row>
    <row r="164" spans="1:5" x14ac:dyDescent="0.25">
      <c r="A164" s="157">
        <v>45775</v>
      </c>
      <c r="B164" t="s">
        <v>112</v>
      </c>
      <c r="C164" t="s">
        <v>105</v>
      </c>
      <c r="D164" t="s">
        <v>108</v>
      </c>
      <c r="E164" s="159">
        <v>0.76060423008724432</v>
      </c>
    </row>
    <row r="165" spans="1:5" x14ac:dyDescent="0.25">
      <c r="A165" s="157">
        <v>45805</v>
      </c>
      <c r="B165" t="s">
        <v>112</v>
      </c>
      <c r="C165" t="s">
        <v>105</v>
      </c>
      <c r="D165" t="s">
        <v>108</v>
      </c>
      <c r="E165" s="159">
        <v>0.77498702786972817</v>
      </c>
    </row>
    <row r="166" spans="1:5" x14ac:dyDescent="0.25">
      <c r="A166" s="157">
        <v>45836</v>
      </c>
      <c r="B166" t="s">
        <v>112</v>
      </c>
      <c r="C166" t="s">
        <v>105</v>
      </c>
      <c r="D166" t="s">
        <v>108</v>
      </c>
      <c r="E166" s="159">
        <v>0.69601511463952248</v>
      </c>
    </row>
    <row r="167" spans="1:5" x14ac:dyDescent="0.25">
      <c r="A167" s="157">
        <v>45866</v>
      </c>
      <c r="B167" t="s">
        <v>112</v>
      </c>
      <c r="C167" t="s">
        <v>105</v>
      </c>
      <c r="D167" t="s">
        <v>108</v>
      </c>
      <c r="E167" s="159">
        <v>0.66093678526455624</v>
      </c>
    </row>
    <row r="168" spans="1:5" x14ac:dyDescent="0.25">
      <c r="A168" s="157">
        <v>45897</v>
      </c>
      <c r="B168" t="s">
        <v>112</v>
      </c>
      <c r="C168" t="s">
        <v>105</v>
      </c>
      <c r="D168" t="s">
        <v>108</v>
      </c>
      <c r="E168" s="159">
        <v>0.73590657527622561</v>
      </c>
    </row>
    <row r="169" spans="1:5" x14ac:dyDescent="0.25">
      <c r="A169" s="157">
        <v>45928</v>
      </c>
      <c r="B169" t="s">
        <v>112</v>
      </c>
      <c r="C169" t="s">
        <v>105</v>
      </c>
      <c r="D169" t="s">
        <v>108</v>
      </c>
      <c r="E169" s="159">
        <v>0.74127233752012378</v>
      </c>
    </row>
    <row r="170" spans="1:5" x14ac:dyDescent="0.25">
      <c r="A170" s="157">
        <v>45596</v>
      </c>
      <c r="B170" t="s">
        <v>112</v>
      </c>
      <c r="C170" t="s">
        <v>95</v>
      </c>
      <c r="D170" t="s">
        <v>96</v>
      </c>
      <c r="E170" s="159">
        <v>1371.6745499999995</v>
      </c>
    </row>
    <row r="171" spans="1:5" x14ac:dyDescent="0.25">
      <c r="A171" s="157">
        <v>45626</v>
      </c>
      <c r="B171" t="s">
        <v>112</v>
      </c>
      <c r="C171" t="s">
        <v>95</v>
      </c>
      <c r="D171" t="s">
        <v>96</v>
      </c>
      <c r="E171" s="159">
        <v>1364.8033400000002</v>
      </c>
    </row>
    <row r="172" spans="1:5" x14ac:dyDescent="0.25">
      <c r="A172" s="157">
        <v>45656</v>
      </c>
      <c r="B172" t="s">
        <v>112</v>
      </c>
      <c r="C172" t="s">
        <v>95</v>
      </c>
      <c r="D172" t="s">
        <v>96</v>
      </c>
      <c r="E172" s="159">
        <v>1523.3619699999999</v>
      </c>
    </row>
    <row r="173" spans="1:5" x14ac:dyDescent="0.25">
      <c r="A173" s="157">
        <v>45687</v>
      </c>
      <c r="B173" t="s">
        <v>112</v>
      </c>
      <c r="C173" t="s">
        <v>95</v>
      </c>
      <c r="D173" t="s">
        <v>96</v>
      </c>
      <c r="E173" s="159">
        <v>1424.9782453478949</v>
      </c>
    </row>
    <row r="174" spans="1:5" x14ac:dyDescent="0.25">
      <c r="A174" s="157">
        <v>45716</v>
      </c>
      <c r="B174" t="s">
        <v>112</v>
      </c>
      <c r="C174" t="s">
        <v>95</v>
      </c>
      <c r="D174" t="s">
        <v>96</v>
      </c>
      <c r="E174" s="159">
        <v>980.69320000000005</v>
      </c>
    </row>
    <row r="175" spans="1:5" x14ac:dyDescent="0.25">
      <c r="A175" s="157">
        <v>45744</v>
      </c>
      <c r="B175" t="s">
        <v>112</v>
      </c>
      <c r="C175" t="s">
        <v>95</v>
      </c>
      <c r="D175" t="s">
        <v>96</v>
      </c>
      <c r="E175" s="159">
        <v>1473.8899003437502</v>
      </c>
    </row>
    <row r="176" spans="1:5" x14ac:dyDescent="0.25">
      <c r="A176" s="157">
        <v>45775</v>
      </c>
      <c r="B176" t="s">
        <v>112</v>
      </c>
      <c r="C176" t="s">
        <v>95</v>
      </c>
      <c r="D176" t="s">
        <v>96</v>
      </c>
      <c r="E176" s="159">
        <v>1339.25632</v>
      </c>
    </row>
    <row r="177" spans="1:5" x14ac:dyDescent="0.25">
      <c r="A177" s="157">
        <v>45805</v>
      </c>
      <c r="B177" t="s">
        <v>112</v>
      </c>
      <c r="C177" t="s">
        <v>95</v>
      </c>
      <c r="D177" t="s">
        <v>96</v>
      </c>
      <c r="E177" s="159">
        <v>1438.7025500000004</v>
      </c>
    </row>
    <row r="178" spans="1:5" x14ac:dyDescent="0.25">
      <c r="A178" s="157">
        <v>45836</v>
      </c>
      <c r="B178" t="s">
        <v>112</v>
      </c>
      <c r="C178" t="s">
        <v>95</v>
      </c>
      <c r="D178" t="s">
        <v>96</v>
      </c>
      <c r="E178" s="159">
        <v>1396.4909299999999</v>
      </c>
    </row>
    <row r="179" spans="1:5" x14ac:dyDescent="0.25">
      <c r="A179" s="157">
        <v>45866</v>
      </c>
      <c r="B179" t="s">
        <v>112</v>
      </c>
      <c r="C179" t="s">
        <v>95</v>
      </c>
      <c r="D179" t="s">
        <v>96</v>
      </c>
      <c r="E179" s="159">
        <v>1332.4224100000008</v>
      </c>
    </row>
    <row r="180" spans="1:5" x14ac:dyDescent="0.25">
      <c r="A180" s="157">
        <v>45897</v>
      </c>
      <c r="B180" t="s">
        <v>112</v>
      </c>
      <c r="C180" t="s">
        <v>95</v>
      </c>
      <c r="D180" t="s">
        <v>96</v>
      </c>
      <c r="E180" s="159">
        <v>1356.9148299999999</v>
      </c>
    </row>
    <row r="181" spans="1:5" x14ac:dyDescent="0.25">
      <c r="A181" s="157">
        <v>45928</v>
      </c>
      <c r="B181" t="s">
        <v>112</v>
      </c>
      <c r="C181" t="s">
        <v>95</v>
      </c>
      <c r="D181" t="s">
        <v>96</v>
      </c>
      <c r="E181" s="159">
        <v>1228.0316399999999</v>
      </c>
    </row>
    <row r="182" spans="1:5" x14ac:dyDescent="0.25">
      <c r="A182" s="157">
        <v>45596</v>
      </c>
      <c r="B182" t="s">
        <v>112</v>
      </c>
      <c r="C182" t="s">
        <v>110</v>
      </c>
      <c r="D182" t="s">
        <v>97</v>
      </c>
      <c r="E182" s="159">
        <v>1.0177160291759612E-4</v>
      </c>
    </row>
    <row r="183" spans="1:5" x14ac:dyDescent="0.25">
      <c r="A183" s="157">
        <v>45626</v>
      </c>
      <c r="B183" t="s">
        <v>112</v>
      </c>
      <c r="C183" t="s">
        <v>110</v>
      </c>
      <c r="D183" t="s">
        <v>97</v>
      </c>
      <c r="E183" s="159">
        <v>1.0182974223969742E-4</v>
      </c>
    </row>
    <row r="184" spans="1:5" x14ac:dyDescent="0.25">
      <c r="A184" s="157">
        <v>45656</v>
      </c>
      <c r="B184" t="s">
        <v>112</v>
      </c>
      <c r="C184" t="s">
        <v>110</v>
      </c>
      <c r="D184" t="s">
        <v>97</v>
      </c>
      <c r="E184" s="159">
        <v>1.0253143529637403E-4</v>
      </c>
    </row>
    <row r="185" spans="1:5" x14ac:dyDescent="0.25">
      <c r="A185" s="157">
        <v>45687</v>
      </c>
      <c r="B185" t="s">
        <v>112</v>
      </c>
      <c r="C185" t="s">
        <v>110</v>
      </c>
      <c r="D185" t="s">
        <v>97</v>
      </c>
      <c r="E185" s="159">
        <v>1.0283810834338761E-4</v>
      </c>
    </row>
    <row r="186" spans="1:5" x14ac:dyDescent="0.25">
      <c r="A186" s="157">
        <v>45716</v>
      </c>
      <c r="B186" t="s">
        <v>112</v>
      </c>
      <c r="C186" t="s">
        <v>110</v>
      </c>
      <c r="D186" t="s">
        <v>97</v>
      </c>
      <c r="E186" s="159">
        <v>1.0181639412997039E-4</v>
      </c>
    </row>
    <row r="187" spans="1:5" x14ac:dyDescent="0.25">
      <c r="A187" s="157">
        <v>45744</v>
      </c>
      <c r="B187" t="s">
        <v>112</v>
      </c>
      <c r="C187" t="s">
        <v>110</v>
      </c>
      <c r="D187" t="s">
        <v>97</v>
      </c>
      <c r="E187" s="159">
        <v>1.0097069860860082E-4</v>
      </c>
    </row>
    <row r="188" spans="1:5" x14ac:dyDescent="0.25">
      <c r="A188" s="157">
        <v>45775</v>
      </c>
      <c r="B188" t="s">
        <v>112</v>
      </c>
      <c r="C188" t="s">
        <v>110</v>
      </c>
      <c r="D188" t="s">
        <v>97</v>
      </c>
      <c r="E188" s="159">
        <v>1.005676011320636E-4</v>
      </c>
    </row>
    <row r="189" spans="1:5" x14ac:dyDescent="0.25">
      <c r="A189" s="157">
        <v>45805</v>
      </c>
      <c r="B189" t="s">
        <v>112</v>
      </c>
      <c r="C189" t="s">
        <v>110</v>
      </c>
      <c r="D189" t="s">
        <v>97</v>
      </c>
      <c r="E189" s="159">
        <v>1.0140982471605663E-4</v>
      </c>
    </row>
    <row r="190" spans="1:5" x14ac:dyDescent="0.25">
      <c r="A190" s="157">
        <v>45836</v>
      </c>
      <c r="B190" t="s">
        <v>112</v>
      </c>
      <c r="C190" t="s">
        <v>110</v>
      </c>
      <c r="D190" t="s">
        <v>97</v>
      </c>
      <c r="E190" s="159">
        <v>1.0054570390119019E-4</v>
      </c>
    </row>
    <row r="191" spans="1:5" x14ac:dyDescent="0.25">
      <c r="A191" s="157">
        <v>45866</v>
      </c>
      <c r="B191" t="s">
        <v>112</v>
      </c>
      <c r="C191" t="s">
        <v>110</v>
      </c>
      <c r="D191" t="s">
        <v>97</v>
      </c>
      <c r="E191" s="159">
        <v>1.0414964635361098E-4</v>
      </c>
    </row>
    <row r="192" spans="1:5" x14ac:dyDescent="0.25">
      <c r="A192" s="157">
        <v>45897</v>
      </c>
      <c r="B192" t="s">
        <v>112</v>
      </c>
      <c r="C192" t="s">
        <v>110</v>
      </c>
      <c r="D192" t="s">
        <v>97</v>
      </c>
      <c r="E192" s="159">
        <v>1.009098606165699E-4</v>
      </c>
    </row>
    <row r="193" spans="1:8" x14ac:dyDescent="0.25">
      <c r="A193" s="157">
        <v>45928</v>
      </c>
      <c r="B193" t="s">
        <v>112</v>
      </c>
      <c r="C193" t="s">
        <v>110</v>
      </c>
      <c r="D193" t="s">
        <v>97</v>
      </c>
      <c r="E193" s="159">
        <v>1.0063854169735023E-4</v>
      </c>
    </row>
    <row r="194" spans="1:8" x14ac:dyDescent="0.25">
      <c r="A194" s="157">
        <v>45596</v>
      </c>
      <c r="B194" t="s">
        <v>112</v>
      </c>
      <c r="C194" t="s">
        <v>110</v>
      </c>
      <c r="D194" t="s">
        <v>100</v>
      </c>
      <c r="E194" s="159">
        <v>2.1351019545499548E-8</v>
      </c>
    </row>
    <row r="195" spans="1:8" x14ac:dyDescent="0.25">
      <c r="A195" s="157">
        <v>45626</v>
      </c>
      <c r="B195" t="s">
        <v>112</v>
      </c>
      <c r="C195" t="s">
        <v>110</v>
      </c>
      <c r="D195" t="s">
        <v>100</v>
      </c>
      <c r="E195" s="159">
        <v>0</v>
      </c>
    </row>
    <row r="196" spans="1:8" x14ac:dyDescent="0.25">
      <c r="A196" s="157">
        <v>45656</v>
      </c>
      <c r="B196" t="s">
        <v>112</v>
      </c>
      <c r="C196" t="s">
        <v>110</v>
      </c>
      <c r="D196" t="s">
        <v>100</v>
      </c>
      <c r="E196" s="159">
        <v>0</v>
      </c>
    </row>
    <row r="197" spans="1:8" x14ac:dyDescent="0.25">
      <c r="A197" s="157">
        <v>45687</v>
      </c>
      <c r="B197" t="s">
        <v>112</v>
      </c>
      <c r="C197" t="s">
        <v>110</v>
      </c>
      <c r="D197" t="s">
        <v>100</v>
      </c>
      <c r="E197" s="159">
        <v>0</v>
      </c>
    </row>
    <row r="198" spans="1:8" x14ac:dyDescent="0.25">
      <c r="A198" s="157">
        <v>45716</v>
      </c>
      <c r="B198" t="s">
        <v>112</v>
      </c>
      <c r="C198" t="s">
        <v>110</v>
      </c>
      <c r="D198" t="s">
        <v>100</v>
      </c>
      <c r="E198" s="159">
        <v>0</v>
      </c>
    </row>
    <row r="199" spans="1:8" x14ac:dyDescent="0.25">
      <c r="A199" s="157">
        <v>45744</v>
      </c>
      <c r="B199" t="s">
        <v>112</v>
      </c>
      <c r="C199" t="s">
        <v>110</v>
      </c>
      <c r="D199" t="s">
        <v>100</v>
      </c>
      <c r="E199" s="159">
        <v>0</v>
      </c>
    </row>
    <row r="200" spans="1:8" x14ac:dyDescent="0.25">
      <c r="A200" s="157">
        <v>45775</v>
      </c>
      <c r="B200" t="s">
        <v>112</v>
      </c>
      <c r="C200" t="s">
        <v>110</v>
      </c>
      <c r="D200" t="s">
        <v>100</v>
      </c>
      <c r="E200" s="159">
        <v>0</v>
      </c>
    </row>
    <row r="201" spans="1:8" x14ac:dyDescent="0.25">
      <c r="A201" s="157">
        <v>45805</v>
      </c>
      <c r="B201" t="s">
        <v>112</v>
      </c>
      <c r="C201" t="s">
        <v>110</v>
      </c>
      <c r="D201" t="s">
        <v>100</v>
      </c>
      <c r="E201" s="159">
        <v>0</v>
      </c>
    </row>
    <row r="202" spans="1:8" x14ac:dyDescent="0.25">
      <c r="A202" s="157">
        <v>45836</v>
      </c>
      <c r="B202" t="s">
        <v>112</v>
      </c>
      <c r="C202" t="s">
        <v>110</v>
      </c>
      <c r="D202" t="s">
        <v>100</v>
      </c>
      <c r="E202" s="159">
        <v>0</v>
      </c>
    </row>
    <row r="203" spans="1:8" x14ac:dyDescent="0.25">
      <c r="A203" s="157">
        <v>45866</v>
      </c>
      <c r="B203" t="s">
        <v>112</v>
      </c>
      <c r="C203" t="s">
        <v>110</v>
      </c>
      <c r="D203" t="s">
        <v>100</v>
      </c>
      <c r="E203" s="159">
        <v>0</v>
      </c>
    </row>
    <row r="204" spans="1:8" x14ac:dyDescent="0.25">
      <c r="A204" s="157">
        <v>45897</v>
      </c>
      <c r="B204" t="s">
        <v>112</v>
      </c>
      <c r="C204" t="s">
        <v>110</v>
      </c>
      <c r="D204" t="s">
        <v>100</v>
      </c>
      <c r="E204" s="159">
        <v>0</v>
      </c>
    </row>
    <row r="205" spans="1:8" x14ac:dyDescent="0.25">
      <c r="A205" s="157">
        <v>45928</v>
      </c>
      <c r="B205" t="s">
        <v>112</v>
      </c>
      <c r="C205" t="s">
        <v>110</v>
      </c>
      <c r="D205" t="s">
        <v>100</v>
      </c>
      <c r="E205" s="159">
        <v>0</v>
      </c>
    </row>
    <row r="206" spans="1:8" x14ac:dyDescent="0.25">
      <c r="A206" s="157">
        <v>45931</v>
      </c>
      <c r="B206" t="s">
        <v>113</v>
      </c>
      <c r="C206" t="s">
        <v>101</v>
      </c>
      <c r="D206" t="s">
        <v>29</v>
      </c>
      <c r="F206" s="159">
        <v>72922.479000000007</v>
      </c>
      <c r="G206" s="159">
        <v>74570.637833333341</v>
      </c>
      <c r="H206" s="159">
        <v>72589.485000000001</v>
      </c>
    </row>
    <row r="207" spans="1:8" x14ac:dyDescent="0.25">
      <c r="A207" s="157">
        <v>45962</v>
      </c>
      <c r="B207" t="s">
        <v>113</v>
      </c>
      <c r="C207" t="s">
        <v>101</v>
      </c>
      <c r="D207" t="s">
        <v>29</v>
      </c>
      <c r="F207" s="159">
        <v>72922.479000000007</v>
      </c>
      <c r="G207" s="159">
        <v>74570.637833333341</v>
      </c>
      <c r="H207" s="159">
        <v>72589.485000000001</v>
      </c>
    </row>
    <row r="208" spans="1:8" x14ac:dyDescent="0.25">
      <c r="A208" s="157">
        <v>45992</v>
      </c>
      <c r="B208" t="s">
        <v>113</v>
      </c>
      <c r="C208" t="s">
        <v>101</v>
      </c>
      <c r="D208" t="s">
        <v>29</v>
      </c>
      <c r="F208" s="159">
        <v>72922.479000000007</v>
      </c>
      <c r="G208" s="159">
        <v>74570.637833333341</v>
      </c>
      <c r="H208" s="159">
        <v>72589.485000000001</v>
      </c>
    </row>
    <row r="209" spans="1:8" x14ac:dyDescent="0.25">
      <c r="A209" s="157">
        <v>46023</v>
      </c>
      <c r="B209" t="s">
        <v>113</v>
      </c>
      <c r="C209" t="s">
        <v>101</v>
      </c>
      <c r="D209" t="s">
        <v>29</v>
      </c>
      <c r="F209" s="159">
        <v>72922.479000000007</v>
      </c>
      <c r="G209" s="159">
        <v>74570.637833333341</v>
      </c>
      <c r="H209" s="159">
        <v>72589.485000000001</v>
      </c>
    </row>
    <row r="210" spans="1:8" x14ac:dyDescent="0.25">
      <c r="A210" s="157">
        <v>46054</v>
      </c>
      <c r="B210" t="s">
        <v>113</v>
      </c>
      <c r="C210" t="s">
        <v>101</v>
      </c>
      <c r="D210" t="s">
        <v>29</v>
      </c>
      <c r="F210" s="159">
        <v>72922.479000000007</v>
      </c>
      <c r="G210" s="159">
        <v>74570.637833333341</v>
      </c>
      <c r="H210" s="159">
        <v>72589.485000000001</v>
      </c>
    </row>
    <row r="211" spans="1:8" x14ac:dyDescent="0.25">
      <c r="A211" s="157">
        <v>46082</v>
      </c>
      <c r="B211" t="s">
        <v>113</v>
      </c>
      <c r="C211" t="s">
        <v>101</v>
      </c>
      <c r="D211" t="s">
        <v>29</v>
      </c>
      <c r="F211" s="159">
        <v>72922.479000000007</v>
      </c>
      <c r="G211" s="159">
        <v>74570.637833333341</v>
      </c>
      <c r="H211" s="159">
        <v>72589.485000000001</v>
      </c>
    </row>
    <row r="212" spans="1:8" x14ac:dyDescent="0.25">
      <c r="A212" s="157">
        <v>46113</v>
      </c>
      <c r="B212" t="s">
        <v>113</v>
      </c>
      <c r="C212" t="s">
        <v>101</v>
      </c>
      <c r="D212" t="s">
        <v>29</v>
      </c>
      <c r="F212" s="159">
        <v>72922.479000000007</v>
      </c>
      <c r="G212" s="159">
        <v>74570.637833333341</v>
      </c>
      <c r="H212" s="159">
        <v>72589.485000000001</v>
      </c>
    </row>
    <row r="213" spans="1:8" x14ac:dyDescent="0.25">
      <c r="A213" s="157">
        <v>46143</v>
      </c>
      <c r="B213" t="s">
        <v>113</v>
      </c>
      <c r="C213" t="s">
        <v>101</v>
      </c>
      <c r="D213" t="s">
        <v>29</v>
      </c>
      <c r="F213" s="159">
        <v>72922.479000000007</v>
      </c>
      <c r="G213" s="159">
        <v>74570.637833333341</v>
      </c>
      <c r="H213" s="159">
        <v>72589.485000000001</v>
      </c>
    </row>
    <row r="214" spans="1:8" x14ac:dyDescent="0.25">
      <c r="A214" s="157">
        <v>46174</v>
      </c>
      <c r="B214" t="s">
        <v>113</v>
      </c>
      <c r="C214" t="s">
        <v>101</v>
      </c>
      <c r="D214" t="s">
        <v>29</v>
      </c>
      <c r="F214" s="159">
        <v>72922.479000000007</v>
      </c>
      <c r="G214" s="159">
        <v>74570.637833333341</v>
      </c>
      <c r="H214" s="159">
        <v>72589.485000000001</v>
      </c>
    </row>
    <row r="215" spans="1:8" x14ac:dyDescent="0.25">
      <c r="A215" s="157">
        <v>46204</v>
      </c>
      <c r="B215" t="s">
        <v>113</v>
      </c>
      <c r="C215" t="s">
        <v>101</v>
      </c>
      <c r="D215" t="s">
        <v>29</v>
      </c>
      <c r="F215" s="159">
        <v>72922.479000000007</v>
      </c>
      <c r="G215" s="159">
        <v>74570.637833333341</v>
      </c>
      <c r="H215" s="159">
        <v>72589.485000000001</v>
      </c>
    </row>
    <row r="216" spans="1:8" x14ac:dyDescent="0.25">
      <c r="A216" s="157">
        <v>46235</v>
      </c>
      <c r="B216" t="s">
        <v>113</v>
      </c>
      <c r="C216" t="s">
        <v>101</v>
      </c>
      <c r="D216" t="s">
        <v>29</v>
      </c>
      <c r="F216" s="159">
        <v>72922.479000000007</v>
      </c>
      <c r="G216" s="159">
        <v>74570.637833333341</v>
      </c>
      <c r="H216" s="159">
        <v>72589.485000000001</v>
      </c>
    </row>
    <row r="217" spans="1:8" x14ac:dyDescent="0.25">
      <c r="A217" s="157">
        <v>46266</v>
      </c>
      <c r="B217" t="s">
        <v>113</v>
      </c>
      <c r="C217" t="s">
        <v>101</v>
      </c>
      <c r="D217" t="s">
        <v>29</v>
      </c>
      <c r="F217" s="159">
        <v>72922.479000000007</v>
      </c>
      <c r="G217" s="159">
        <v>74570.637833333341</v>
      </c>
      <c r="H217" s="159">
        <v>72589.485000000001</v>
      </c>
    </row>
    <row r="218" spans="1:8" x14ac:dyDescent="0.25">
      <c r="A218" s="157">
        <v>45931</v>
      </c>
      <c r="B218" t="s">
        <v>113</v>
      </c>
      <c r="C218" t="s">
        <v>101</v>
      </c>
      <c r="D218" t="s">
        <v>31</v>
      </c>
      <c r="F218" s="159">
        <v>0</v>
      </c>
      <c r="G218" s="159">
        <v>0</v>
      </c>
      <c r="H218" s="159">
        <v>0</v>
      </c>
    </row>
    <row r="219" spans="1:8" x14ac:dyDescent="0.25">
      <c r="A219" s="157">
        <v>45962</v>
      </c>
      <c r="B219" t="s">
        <v>113</v>
      </c>
      <c r="C219" t="s">
        <v>101</v>
      </c>
      <c r="D219" t="s">
        <v>31</v>
      </c>
      <c r="F219" s="159">
        <v>0</v>
      </c>
      <c r="G219" s="159">
        <v>0</v>
      </c>
      <c r="H219" s="159">
        <v>0</v>
      </c>
    </row>
    <row r="220" spans="1:8" x14ac:dyDescent="0.25">
      <c r="A220" s="157">
        <v>45992</v>
      </c>
      <c r="B220" t="s">
        <v>113</v>
      </c>
      <c r="C220" t="s">
        <v>101</v>
      </c>
      <c r="D220" t="s">
        <v>31</v>
      </c>
      <c r="F220" s="159">
        <v>0</v>
      </c>
      <c r="G220" s="159">
        <v>0</v>
      </c>
      <c r="H220" s="159">
        <v>0</v>
      </c>
    </row>
    <row r="221" spans="1:8" x14ac:dyDescent="0.25">
      <c r="A221" s="157">
        <v>46023</v>
      </c>
      <c r="B221" t="s">
        <v>113</v>
      </c>
      <c r="C221" t="s">
        <v>101</v>
      </c>
      <c r="D221" t="s">
        <v>31</v>
      </c>
      <c r="F221" s="159">
        <v>0</v>
      </c>
      <c r="G221" s="159">
        <v>0</v>
      </c>
      <c r="H221" s="159">
        <v>0</v>
      </c>
    </row>
    <row r="222" spans="1:8" x14ac:dyDescent="0.25">
      <c r="A222" s="157">
        <v>46054</v>
      </c>
      <c r="B222" t="s">
        <v>113</v>
      </c>
      <c r="C222" t="s">
        <v>101</v>
      </c>
      <c r="D222" t="s">
        <v>31</v>
      </c>
      <c r="F222" s="159">
        <v>0</v>
      </c>
      <c r="G222" s="159">
        <v>0</v>
      </c>
      <c r="H222" s="159">
        <v>0</v>
      </c>
    </row>
    <row r="223" spans="1:8" x14ac:dyDescent="0.25">
      <c r="A223" s="157">
        <v>46082</v>
      </c>
      <c r="B223" t="s">
        <v>113</v>
      </c>
      <c r="C223" t="s">
        <v>101</v>
      </c>
      <c r="D223" t="s">
        <v>31</v>
      </c>
      <c r="F223" s="159">
        <v>0</v>
      </c>
      <c r="G223" s="159">
        <v>0</v>
      </c>
      <c r="H223" s="159">
        <v>0</v>
      </c>
    </row>
    <row r="224" spans="1:8" x14ac:dyDescent="0.25">
      <c r="A224" s="157">
        <v>46113</v>
      </c>
      <c r="B224" t="s">
        <v>113</v>
      </c>
      <c r="C224" t="s">
        <v>101</v>
      </c>
      <c r="D224" t="s">
        <v>31</v>
      </c>
      <c r="F224" s="159">
        <v>0</v>
      </c>
      <c r="G224" s="159">
        <v>0</v>
      </c>
      <c r="H224" s="159">
        <v>0</v>
      </c>
    </row>
    <row r="225" spans="1:8" x14ac:dyDescent="0.25">
      <c r="A225" s="157">
        <v>46143</v>
      </c>
      <c r="B225" t="s">
        <v>113</v>
      </c>
      <c r="C225" t="s">
        <v>101</v>
      </c>
      <c r="D225" t="s">
        <v>31</v>
      </c>
      <c r="F225" s="159">
        <v>0</v>
      </c>
      <c r="G225" s="159">
        <v>0</v>
      </c>
      <c r="H225" s="159">
        <v>0</v>
      </c>
    </row>
    <row r="226" spans="1:8" x14ac:dyDescent="0.25">
      <c r="A226" s="157">
        <v>46174</v>
      </c>
      <c r="B226" t="s">
        <v>113</v>
      </c>
      <c r="C226" t="s">
        <v>101</v>
      </c>
      <c r="D226" t="s">
        <v>31</v>
      </c>
      <c r="F226" s="159">
        <v>0</v>
      </c>
      <c r="G226" s="159">
        <v>0</v>
      </c>
      <c r="H226" s="159">
        <v>0</v>
      </c>
    </row>
    <row r="227" spans="1:8" x14ac:dyDescent="0.25">
      <c r="A227" s="157">
        <v>46204</v>
      </c>
      <c r="B227" t="s">
        <v>113</v>
      </c>
      <c r="C227" t="s">
        <v>101</v>
      </c>
      <c r="D227" t="s">
        <v>31</v>
      </c>
      <c r="F227" s="159">
        <v>0</v>
      </c>
      <c r="G227" s="159">
        <v>0</v>
      </c>
      <c r="H227" s="159">
        <v>0</v>
      </c>
    </row>
    <row r="228" spans="1:8" x14ac:dyDescent="0.25">
      <c r="A228" s="157">
        <v>46235</v>
      </c>
      <c r="B228" t="s">
        <v>113</v>
      </c>
      <c r="C228" t="s">
        <v>101</v>
      </c>
      <c r="D228" t="s">
        <v>31</v>
      </c>
      <c r="F228" s="159">
        <v>0</v>
      </c>
      <c r="G228" s="159">
        <v>0</v>
      </c>
      <c r="H228" s="159">
        <v>0</v>
      </c>
    </row>
    <row r="229" spans="1:8" x14ac:dyDescent="0.25">
      <c r="A229" s="157">
        <v>46266</v>
      </c>
      <c r="B229" t="s">
        <v>113</v>
      </c>
      <c r="C229" t="s">
        <v>101</v>
      </c>
      <c r="D229" t="s">
        <v>31</v>
      </c>
      <c r="F229" s="159">
        <v>0</v>
      </c>
      <c r="G229" s="159">
        <v>0</v>
      </c>
      <c r="H229" s="159">
        <v>0</v>
      </c>
    </row>
    <row r="230" spans="1:8" x14ac:dyDescent="0.25">
      <c r="A230" s="157">
        <v>45931</v>
      </c>
      <c r="B230" t="s">
        <v>113</v>
      </c>
      <c r="C230" t="s">
        <v>101</v>
      </c>
      <c r="D230" t="s">
        <v>33</v>
      </c>
      <c r="F230" s="159">
        <v>8096.7530833333331</v>
      </c>
      <c r="G230" s="159">
        <v>8037.7693333333336</v>
      </c>
      <c r="H230" s="159">
        <v>338526.46666666662</v>
      </c>
    </row>
    <row r="231" spans="1:8" x14ac:dyDescent="0.25">
      <c r="A231" s="157">
        <v>45962</v>
      </c>
      <c r="B231" t="s">
        <v>113</v>
      </c>
      <c r="C231" t="s">
        <v>101</v>
      </c>
      <c r="D231" t="s">
        <v>33</v>
      </c>
      <c r="F231" s="159">
        <v>8096.7530833333331</v>
      </c>
      <c r="G231" s="159">
        <v>8037.7693333333336</v>
      </c>
      <c r="H231" s="159">
        <v>338526.46666666662</v>
      </c>
    </row>
    <row r="232" spans="1:8" x14ac:dyDescent="0.25">
      <c r="A232" s="157">
        <v>45992</v>
      </c>
      <c r="B232" t="s">
        <v>113</v>
      </c>
      <c r="C232" t="s">
        <v>101</v>
      </c>
      <c r="D232" t="s">
        <v>33</v>
      </c>
      <c r="F232" s="159">
        <v>8096.7530833333331</v>
      </c>
      <c r="G232" s="159">
        <v>8037.7693333333336</v>
      </c>
      <c r="H232" s="159">
        <v>338526.46666666662</v>
      </c>
    </row>
    <row r="233" spans="1:8" x14ac:dyDescent="0.25">
      <c r="A233" s="157">
        <v>46023</v>
      </c>
      <c r="B233" t="s">
        <v>113</v>
      </c>
      <c r="C233" t="s">
        <v>101</v>
      </c>
      <c r="D233" t="s">
        <v>33</v>
      </c>
      <c r="F233" s="159">
        <v>8096.7530833333331</v>
      </c>
      <c r="G233" s="159">
        <v>8037.7693333333336</v>
      </c>
      <c r="H233" s="159">
        <v>338526.46666666662</v>
      </c>
    </row>
    <row r="234" spans="1:8" x14ac:dyDescent="0.25">
      <c r="A234" s="157">
        <v>46054</v>
      </c>
      <c r="B234" t="s">
        <v>113</v>
      </c>
      <c r="C234" t="s">
        <v>101</v>
      </c>
      <c r="D234" t="s">
        <v>33</v>
      </c>
      <c r="F234" s="159">
        <v>8096.7530833333331</v>
      </c>
      <c r="G234" s="159">
        <v>8037.7693333333336</v>
      </c>
      <c r="H234" s="159">
        <v>338526.46666666662</v>
      </c>
    </row>
    <row r="235" spans="1:8" x14ac:dyDescent="0.25">
      <c r="A235" s="157">
        <v>46082</v>
      </c>
      <c r="B235" t="s">
        <v>113</v>
      </c>
      <c r="C235" t="s">
        <v>101</v>
      </c>
      <c r="D235" t="s">
        <v>33</v>
      </c>
      <c r="F235" s="159">
        <v>8096.7530833333331</v>
      </c>
      <c r="G235" s="159">
        <v>8037.7693333333336</v>
      </c>
      <c r="H235" s="159">
        <v>338526.46666666662</v>
      </c>
    </row>
    <row r="236" spans="1:8" x14ac:dyDescent="0.25">
      <c r="A236" s="157">
        <v>46113</v>
      </c>
      <c r="B236" t="s">
        <v>113</v>
      </c>
      <c r="C236" t="s">
        <v>101</v>
      </c>
      <c r="D236" t="s">
        <v>33</v>
      </c>
      <c r="F236" s="159">
        <v>8096.7530833333331</v>
      </c>
      <c r="G236" s="159">
        <v>8037.7693333333336</v>
      </c>
      <c r="H236" s="159">
        <v>338526.46666666662</v>
      </c>
    </row>
    <row r="237" spans="1:8" x14ac:dyDescent="0.25">
      <c r="A237" s="157">
        <v>46143</v>
      </c>
      <c r="B237" t="s">
        <v>113</v>
      </c>
      <c r="C237" t="s">
        <v>101</v>
      </c>
      <c r="D237" t="s">
        <v>33</v>
      </c>
      <c r="F237" s="159">
        <v>8096.7530833333331</v>
      </c>
      <c r="G237" s="159">
        <v>8037.7693333333336</v>
      </c>
      <c r="H237" s="159">
        <v>338526.46666666662</v>
      </c>
    </row>
    <row r="238" spans="1:8" x14ac:dyDescent="0.25">
      <c r="A238" s="157">
        <v>46174</v>
      </c>
      <c r="B238" t="s">
        <v>113</v>
      </c>
      <c r="C238" t="s">
        <v>101</v>
      </c>
      <c r="D238" t="s">
        <v>33</v>
      </c>
      <c r="F238" s="159">
        <v>8096.7530833333331</v>
      </c>
      <c r="G238" s="159">
        <v>8037.7693333333336</v>
      </c>
      <c r="H238" s="159">
        <v>338526.46666666662</v>
      </c>
    </row>
    <row r="239" spans="1:8" x14ac:dyDescent="0.25">
      <c r="A239" s="157">
        <v>46204</v>
      </c>
      <c r="B239" t="s">
        <v>113</v>
      </c>
      <c r="C239" t="s">
        <v>101</v>
      </c>
      <c r="D239" t="s">
        <v>33</v>
      </c>
      <c r="F239" s="159">
        <v>8096.7530833333331</v>
      </c>
      <c r="G239" s="159">
        <v>8037.7693333333336</v>
      </c>
      <c r="H239" s="159">
        <v>338526.46666666662</v>
      </c>
    </row>
    <row r="240" spans="1:8" x14ac:dyDescent="0.25">
      <c r="A240" s="157">
        <v>46235</v>
      </c>
      <c r="B240" t="s">
        <v>113</v>
      </c>
      <c r="C240" t="s">
        <v>101</v>
      </c>
      <c r="D240" t="s">
        <v>33</v>
      </c>
      <c r="F240" s="159">
        <v>8096.7530833333331</v>
      </c>
      <c r="G240" s="159">
        <v>8037.7693333333336</v>
      </c>
      <c r="H240" s="159">
        <v>338526.46666666662</v>
      </c>
    </row>
    <row r="241" spans="1:8" x14ac:dyDescent="0.25">
      <c r="A241" s="157">
        <v>46266</v>
      </c>
      <c r="B241" t="s">
        <v>113</v>
      </c>
      <c r="C241" t="s">
        <v>101</v>
      </c>
      <c r="D241" t="s">
        <v>33</v>
      </c>
      <c r="F241" s="159">
        <v>8096.7530833333331</v>
      </c>
      <c r="G241" s="159">
        <v>8037.7693333333336</v>
      </c>
      <c r="H241" s="159">
        <v>338526.46666666662</v>
      </c>
    </row>
    <row r="242" spans="1:8" x14ac:dyDescent="0.25">
      <c r="A242" s="157">
        <v>45931</v>
      </c>
      <c r="B242" t="s">
        <v>113</v>
      </c>
      <c r="C242" t="s">
        <v>101</v>
      </c>
      <c r="D242" t="s">
        <v>43</v>
      </c>
      <c r="F242" s="159">
        <v>4863027.7366666663</v>
      </c>
      <c r="G242" s="159">
        <v>4778231.84</v>
      </c>
      <c r="H242" s="159">
        <v>4651340.4066666672</v>
      </c>
    </row>
    <row r="243" spans="1:8" x14ac:dyDescent="0.25">
      <c r="A243" s="157">
        <v>45962</v>
      </c>
      <c r="B243" t="s">
        <v>113</v>
      </c>
      <c r="C243" t="s">
        <v>101</v>
      </c>
      <c r="D243" t="s">
        <v>43</v>
      </c>
      <c r="F243" s="159">
        <v>4863027.7366666663</v>
      </c>
      <c r="G243" s="159">
        <v>4778231.84</v>
      </c>
      <c r="H243" s="159">
        <v>4651340.4066666672</v>
      </c>
    </row>
    <row r="244" spans="1:8" x14ac:dyDescent="0.25">
      <c r="A244" s="157">
        <v>45992</v>
      </c>
      <c r="B244" t="s">
        <v>113</v>
      </c>
      <c r="C244" t="s">
        <v>101</v>
      </c>
      <c r="D244" t="s">
        <v>43</v>
      </c>
      <c r="F244" s="159">
        <v>4863027.7366666663</v>
      </c>
      <c r="G244" s="159">
        <v>4778231.84</v>
      </c>
      <c r="H244" s="159">
        <v>4651340.4066666672</v>
      </c>
    </row>
    <row r="245" spans="1:8" x14ac:dyDescent="0.25">
      <c r="A245" s="157">
        <v>46023</v>
      </c>
      <c r="B245" t="s">
        <v>113</v>
      </c>
      <c r="C245" t="s">
        <v>101</v>
      </c>
      <c r="D245" t="s">
        <v>43</v>
      </c>
      <c r="F245" s="159">
        <v>4863027.7366666663</v>
      </c>
      <c r="G245" s="159">
        <v>4778231.84</v>
      </c>
      <c r="H245" s="159">
        <v>4651340.4066666672</v>
      </c>
    </row>
    <row r="246" spans="1:8" x14ac:dyDescent="0.25">
      <c r="A246" s="157">
        <v>46054</v>
      </c>
      <c r="B246" t="s">
        <v>113</v>
      </c>
      <c r="C246" t="s">
        <v>101</v>
      </c>
      <c r="D246" t="s">
        <v>43</v>
      </c>
      <c r="F246" s="159">
        <v>4863027.7366666663</v>
      </c>
      <c r="G246" s="159">
        <v>4778231.84</v>
      </c>
      <c r="H246" s="159">
        <v>4651340.4066666672</v>
      </c>
    </row>
    <row r="247" spans="1:8" x14ac:dyDescent="0.25">
      <c r="A247" s="157">
        <v>46082</v>
      </c>
      <c r="B247" t="s">
        <v>113</v>
      </c>
      <c r="C247" t="s">
        <v>101</v>
      </c>
      <c r="D247" t="s">
        <v>43</v>
      </c>
      <c r="F247" s="159">
        <v>4863027.7366666663</v>
      </c>
      <c r="G247" s="159">
        <v>4778231.84</v>
      </c>
      <c r="H247" s="159">
        <v>4651340.4066666672</v>
      </c>
    </row>
    <row r="248" spans="1:8" x14ac:dyDescent="0.25">
      <c r="A248" s="157">
        <v>46113</v>
      </c>
      <c r="B248" t="s">
        <v>113</v>
      </c>
      <c r="C248" t="s">
        <v>101</v>
      </c>
      <c r="D248" t="s">
        <v>43</v>
      </c>
      <c r="F248" s="159">
        <v>4863027.7366666663</v>
      </c>
      <c r="G248" s="159">
        <v>4778231.84</v>
      </c>
      <c r="H248" s="159">
        <v>4651340.4066666672</v>
      </c>
    </row>
    <row r="249" spans="1:8" x14ac:dyDescent="0.25">
      <c r="A249" s="157">
        <v>46143</v>
      </c>
      <c r="B249" t="s">
        <v>113</v>
      </c>
      <c r="C249" t="s">
        <v>101</v>
      </c>
      <c r="D249" t="s">
        <v>43</v>
      </c>
      <c r="F249" s="159">
        <v>4863027.7366666663</v>
      </c>
      <c r="G249" s="159">
        <v>4778231.84</v>
      </c>
      <c r="H249" s="159">
        <v>4651340.4066666672</v>
      </c>
    </row>
    <row r="250" spans="1:8" x14ac:dyDescent="0.25">
      <c r="A250" s="157">
        <v>46174</v>
      </c>
      <c r="B250" t="s">
        <v>113</v>
      </c>
      <c r="C250" t="s">
        <v>101</v>
      </c>
      <c r="D250" t="s">
        <v>43</v>
      </c>
      <c r="F250" s="159">
        <v>4863027.7366666663</v>
      </c>
      <c r="G250" s="159">
        <v>4778231.84</v>
      </c>
      <c r="H250" s="159">
        <v>4651340.4066666672</v>
      </c>
    </row>
    <row r="251" spans="1:8" x14ac:dyDescent="0.25">
      <c r="A251" s="157">
        <v>46204</v>
      </c>
      <c r="B251" t="s">
        <v>113</v>
      </c>
      <c r="C251" t="s">
        <v>101</v>
      </c>
      <c r="D251" t="s">
        <v>43</v>
      </c>
      <c r="F251" s="159">
        <v>4863027.7366666663</v>
      </c>
      <c r="G251" s="159">
        <v>4778231.84</v>
      </c>
      <c r="H251" s="159">
        <v>4651340.4066666672</v>
      </c>
    </row>
    <row r="252" spans="1:8" x14ac:dyDescent="0.25">
      <c r="A252" s="157">
        <v>46235</v>
      </c>
      <c r="B252" t="s">
        <v>113</v>
      </c>
      <c r="C252" t="s">
        <v>101</v>
      </c>
      <c r="D252" t="s">
        <v>43</v>
      </c>
      <c r="F252" s="159">
        <v>4863027.7366666663</v>
      </c>
      <c r="G252" s="159">
        <v>4778231.84</v>
      </c>
      <c r="H252" s="159">
        <v>4651340.4066666672</v>
      </c>
    </row>
    <row r="253" spans="1:8" x14ac:dyDescent="0.25">
      <c r="A253" s="157">
        <v>46266</v>
      </c>
      <c r="B253" t="s">
        <v>113</v>
      </c>
      <c r="C253" t="s">
        <v>101</v>
      </c>
      <c r="D253" t="s">
        <v>43</v>
      </c>
      <c r="F253" s="159">
        <v>4863027.7366666663</v>
      </c>
      <c r="G253" s="159">
        <v>4778231.84</v>
      </c>
      <c r="H253" s="159">
        <v>4651340.4066666672</v>
      </c>
    </row>
    <row r="254" spans="1:8" x14ac:dyDescent="0.25">
      <c r="A254" s="157">
        <v>45931</v>
      </c>
      <c r="B254" t="s">
        <v>113</v>
      </c>
      <c r="C254" t="s">
        <v>105</v>
      </c>
      <c r="D254" t="s">
        <v>106</v>
      </c>
      <c r="F254" s="159">
        <v>-7.1205101814823601</v>
      </c>
      <c r="G254" s="159">
        <v>-6.2037019076368294</v>
      </c>
      <c r="H254" s="159">
        <v>-6.22753997821835</v>
      </c>
    </row>
    <row r="255" spans="1:8" x14ac:dyDescent="0.25">
      <c r="A255" s="157">
        <v>45962</v>
      </c>
      <c r="B255" t="s">
        <v>113</v>
      </c>
      <c r="C255" t="s">
        <v>105</v>
      </c>
      <c r="D255" t="s">
        <v>106</v>
      </c>
      <c r="F255" s="159">
        <v>-7.1205101814823601</v>
      </c>
      <c r="G255" s="159">
        <v>-6.2037019076368294</v>
      </c>
      <c r="H255" s="159">
        <v>-6.22753997821835</v>
      </c>
    </row>
    <row r="256" spans="1:8" x14ac:dyDescent="0.25">
      <c r="A256" s="157">
        <v>45992</v>
      </c>
      <c r="B256" t="s">
        <v>113</v>
      </c>
      <c r="C256" t="s">
        <v>105</v>
      </c>
      <c r="D256" t="s">
        <v>106</v>
      </c>
      <c r="F256" s="159">
        <v>-7.1205101814823601</v>
      </c>
      <c r="G256" s="159">
        <v>-6.2037019076368294</v>
      </c>
      <c r="H256" s="159">
        <v>-6.22753997821835</v>
      </c>
    </row>
    <row r="257" spans="1:8" x14ac:dyDescent="0.25">
      <c r="A257" s="157">
        <v>46023</v>
      </c>
      <c r="B257" t="s">
        <v>113</v>
      </c>
      <c r="C257" t="s">
        <v>105</v>
      </c>
      <c r="D257" t="s">
        <v>106</v>
      </c>
      <c r="F257" s="159">
        <v>-7.1205101814823601</v>
      </c>
      <c r="G257" s="159">
        <v>-6.2037019076368294</v>
      </c>
      <c r="H257" s="159">
        <v>-6.22753997821835</v>
      </c>
    </row>
    <row r="258" spans="1:8" x14ac:dyDescent="0.25">
      <c r="A258" s="157">
        <v>46054</v>
      </c>
      <c r="B258" t="s">
        <v>113</v>
      </c>
      <c r="C258" t="s">
        <v>105</v>
      </c>
      <c r="D258" t="s">
        <v>106</v>
      </c>
      <c r="F258" s="159">
        <v>-7.1205101814823601</v>
      </c>
      <c r="G258" s="159">
        <v>-6.2037019076368294</v>
      </c>
      <c r="H258" s="159">
        <v>-6.22753997821835</v>
      </c>
    </row>
    <row r="259" spans="1:8" x14ac:dyDescent="0.25">
      <c r="A259" s="157">
        <v>46082</v>
      </c>
      <c r="B259" t="s">
        <v>113</v>
      </c>
      <c r="C259" t="s">
        <v>105</v>
      </c>
      <c r="D259" t="s">
        <v>106</v>
      </c>
      <c r="F259" s="159">
        <v>-7.1205101814823601</v>
      </c>
      <c r="G259" s="159">
        <v>-6.2037019076368294</v>
      </c>
      <c r="H259" s="159">
        <v>-6.22753997821835</v>
      </c>
    </row>
    <row r="260" spans="1:8" x14ac:dyDescent="0.25">
      <c r="A260" s="157">
        <v>46113</v>
      </c>
      <c r="B260" t="s">
        <v>113</v>
      </c>
      <c r="C260" t="s">
        <v>105</v>
      </c>
      <c r="D260" t="s">
        <v>106</v>
      </c>
      <c r="F260" s="159">
        <v>-7.1205101814823601</v>
      </c>
      <c r="G260" s="159">
        <v>-6.2037019076368294</v>
      </c>
      <c r="H260" s="159">
        <v>-6.22753997821835</v>
      </c>
    </row>
    <row r="261" spans="1:8" x14ac:dyDescent="0.25">
      <c r="A261" s="157">
        <v>46143</v>
      </c>
      <c r="B261" t="s">
        <v>113</v>
      </c>
      <c r="C261" t="s">
        <v>105</v>
      </c>
      <c r="D261" t="s">
        <v>106</v>
      </c>
      <c r="F261" s="159">
        <v>-7.1205101814823601</v>
      </c>
      <c r="G261" s="159">
        <v>-6.2037019076368294</v>
      </c>
      <c r="H261" s="159">
        <v>-6.22753997821835</v>
      </c>
    </row>
    <row r="262" spans="1:8" x14ac:dyDescent="0.25">
      <c r="A262" s="157">
        <v>46174</v>
      </c>
      <c r="B262" t="s">
        <v>113</v>
      </c>
      <c r="C262" t="s">
        <v>105</v>
      </c>
      <c r="D262" t="s">
        <v>106</v>
      </c>
      <c r="F262" s="159">
        <v>-7.1205101814823601</v>
      </c>
      <c r="G262" s="159">
        <v>-6.2037019076368294</v>
      </c>
      <c r="H262" s="159">
        <v>-6.22753997821835</v>
      </c>
    </row>
    <row r="263" spans="1:8" x14ac:dyDescent="0.25">
      <c r="A263" s="157">
        <v>46204</v>
      </c>
      <c r="B263" t="s">
        <v>113</v>
      </c>
      <c r="C263" t="s">
        <v>105</v>
      </c>
      <c r="D263" t="s">
        <v>106</v>
      </c>
      <c r="F263" s="159">
        <v>-7.1205101814823601</v>
      </c>
      <c r="G263" s="159">
        <v>-6.2037019076368294</v>
      </c>
      <c r="H263" s="159">
        <v>-6.22753997821835</v>
      </c>
    </row>
    <row r="264" spans="1:8" x14ac:dyDescent="0.25">
      <c r="A264" s="157">
        <v>46235</v>
      </c>
      <c r="B264" t="s">
        <v>113</v>
      </c>
      <c r="C264" t="s">
        <v>105</v>
      </c>
      <c r="D264" t="s">
        <v>106</v>
      </c>
      <c r="F264" s="159">
        <v>-7.1205101814823601</v>
      </c>
      <c r="G264" s="159">
        <v>-6.2037019076368294</v>
      </c>
      <c r="H264" s="159">
        <v>-6.22753997821835</v>
      </c>
    </row>
    <row r="265" spans="1:8" x14ac:dyDescent="0.25">
      <c r="A265" s="157">
        <v>46266</v>
      </c>
      <c r="B265" t="s">
        <v>113</v>
      </c>
      <c r="C265" t="s">
        <v>105</v>
      </c>
      <c r="D265" t="s">
        <v>106</v>
      </c>
      <c r="F265" s="159">
        <v>-7.1205101814823601</v>
      </c>
      <c r="G265" s="159">
        <v>-6.2037019076368294</v>
      </c>
      <c r="H265" s="159">
        <v>-6.22753997821835</v>
      </c>
    </row>
    <row r="266" spans="1:8" x14ac:dyDescent="0.25">
      <c r="A266" s="157">
        <v>45931</v>
      </c>
      <c r="B266" t="s">
        <v>113</v>
      </c>
      <c r="C266" t="s">
        <v>105</v>
      </c>
      <c r="D266" t="s">
        <v>107</v>
      </c>
      <c r="F266" s="159">
        <v>0</v>
      </c>
      <c r="G266" s="159">
        <v>0</v>
      </c>
      <c r="H266" s="159">
        <v>0</v>
      </c>
    </row>
    <row r="267" spans="1:8" x14ac:dyDescent="0.25">
      <c r="A267" s="157">
        <v>45962</v>
      </c>
      <c r="B267" t="s">
        <v>113</v>
      </c>
      <c r="C267" t="s">
        <v>105</v>
      </c>
      <c r="D267" t="s">
        <v>107</v>
      </c>
      <c r="F267" s="159">
        <v>0</v>
      </c>
      <c r="G267" s="159">
        <v>0</v>
      </c>
      <c r="H267" s="159">
        <v>0</v>
      </c>
    </row>
    <row r="268" spans="1:8" x14ac:dyDescent="0.25">
      <c r="A268" s="157">
        <v>45992</v>
      </c>
      <c r="B268" t="s">
        <v>113</v>
      </c>
      <c r="C268" t="s">
        <v>105</v>
      </c>
      <c r="D268" t="s">
        <v>107</v>
      </c>
      <c r="F268" s="159">
        <v>0</v>
      </c>
      <c r="G268" s="159">
        <v>0</v>
      </c>
      <c r="H268" s="159">
        <v>0</v>
      </c>
    </row>
    <row r="269" spans="1:8" x14ac:dyDescent="0.25">
      <c r="A269" s="157">
        <v>46023</v>
      </c>
      <c r="B269" t="s">
        <v>113</v>
      </c>
      <c r="C269" t="s">
        <v>105</v>
      </c>
      <c r="D269" t="s">
        <v>107</v>
      </c>
      <c r="F269" s="159">
        <v>0</v>
      </c>
      <c r="G269" s="159">
        <v>0</v>
      </c>
      <c r="H269" s="159">
        <v>0</v>
      </c>
    </row>
    <row r="270" spans="1:8" x14ac:dyDescent="0.25">
      <c r="A270" s="157">
        <v>46054</v>
      </c>
      <c r="B270" t="s">
        <v>113</v>
      </c>
      <c r="C270" t="s">
        <v>105</v>
      </c>
      <c r="D270" t="s">
        <v>107</v>
      </c>
      <c r="F270" s="159">
        <v>0</v>
      </c>
      <c r="G270" s="159">
        <v>0</v>
      </c>
      <c r="H270" s="159">
        <v>0</v>
      </c>
    </row>
    <row r="271" spans="1:8" x14ac:dyDescent="0.25">
      <c r="A271" s="157">
        <v>46082</v>
      </c>
      <c r="B271" t="s">
        <v>113</v>
      </c>
      <c r="C271" t="s">
        <v>105</v>
      </c>
      <c r="D271" t="s">
        <v>107</v>
      </c>
      <c r="F271" s="159">
        <v>0</v>
      </c>
      <c r="G271" s="159">
        <v>0</v>
      </c>
      <c r="H271" s="159">
        <v>0</v>
      </c>
    </row>
    <row r="272" spans="1:8" x14ac:dyDescent="0.25">
      <c r="A272" s="157">
        <v>46113</v>
      </c>
      <c r="B272" t="s">
        <v>113</v>
      </c>
      <c r="C272" t="s">
        <v>105</v>
      </c>
      <c r="D272" t="s">
        <v>107</v>
      </c>
      <c r="F272" s="159">
        <v>0</v>
      </c>
      <c r="G272" s="159">
        <v>0</v>
      </c>
      <c r="H272" s="159">
        <v>0</v>
      </c>
    </row>
    <row r="273" spans="1:8" x14ac:dyDescent="0.25">
      <c r="A273" s="157">
        <v>46143</v>
      </c>
      <c r="B273" t="s">
        <v>113</v>
      </c>
      <c r="C273" t="s">
        <v>105</v>
      </c>
      <c r="D273" t="s">
        <v>107</v>
      </c>
      <c r="F273" s="159">
        <v>0</v>
      </c>
      <c r="G273" s="159">
        <v>0</v>
      </c>
      <c r="H273" s="159">
        <v>0</v>
      </c>
    </row>
    <row r="274" spans="1:8" x14ac:dyDescent="0.25">
      <c r="A274" s="157">
        <v>46174</v>
      </c>
      <c r="B274" t="s">
        <v>113</v>
      </c>
      <c r="C274" t="s">
        <v>105</v>
      </c>
      <c r="D274" t="s">
        <v>107</v>
      </c>
      <c r="F274" s="159">
        <v>0</v>
      </c>
      <c r="G274" s="159">
        <v>0</v>
      </c>
      <c r="H274" s="159">
        <v>0</v>
      </c>
    </row>
    <row r="275" spans="1:8" x14ac:dyDescent="0.25">
      <c r="A275" s="157">
        <v>46204</v>
      </c>
      <c r="B275" t="s">
        <v>113</v>
      </c>
      <c r="C275" t="s">
        <v>105</v>
      </c>
      <c r="D275" t="s">
        <v>107</v>
      </c>
      <c r="F275" s="159">
        <v>0</v>
      </c>
      <c r="G275" s="159">
        <v>0</v>
      </c>
      <c r="H275" s="159">
        <v>0</v>
      </c>
    </row>
    <row r="276" spans="1:8" x14ac:dyDescent="0.25">
      <c r="A276" s="157">
        <v>46235</v>
      </c>
      <c r="B276" t="s">
        <v>113</v>
      </c>
      <c r="C276" t="s">
        <v>105</v>
      </c>
      <c r="D276" t="s">
        <v>107</v>
      </c>
      <c r="F276" s="159">
        <v>0</v>
      </c>
      <c r="G276" s="159">
        <v>0</v>
      </c>
      <c r="H276" s="159">
        <v>0</v>
      </c>
    </row>
    <row r="277" spans="1:8" x14ac:dyDescent="0.25">
      <c r="A277" s="157">
        <v>46266</v>
      </c>
      <c r="B277" t="s">
        <v>113</v>
      </c>
      <c r="C277" t="s">
        <v>105</v>
      </c>
      <c r="D277" t="s">
        <v>107</v>
      </c>
      <c r="F277" s="159">
        <v>0</v>
      </c>
      <c r="G277" s="159">
        <v>0</v>
      </c>
      <c r="H277" s="159">
        <v>0</v>
      </c>
    </row>
    <row r="278" spans="1:8" x14ac:dyDescent="0.25">
      <c r="A278" s="157">
        <v>45931</v>
      </c>
      <c r="B278" t="s">
        <v>113</v>
      </c>
      <c r="C278" t="s">
        <v>105</v>
      </c>
      <c r="D278" t="s">
        <v>108</v>
      </c>
      <c r="F278" s="159">
        <v>0.74735365011005817</v>
      </c>
      <c r="G278" s="159">
        <v>0.72828701177623356</v>
      </c>
      <c r="H278" s="159">
        <v>0.7127052326869685</v>
      </c>
    </row>
    <row r="279" spans="1:8" x14ac:dyDescent="0.25">
      <c r="A279" s="157">
        <v>45962</v>
      </c>
      <c r="B279" t="s">
        <v>113</v>
      </c>
      <c r="C279" t="s">
        <v>105</v>
      </c>
      <c r="D279" t="s">
        <v>108</v>
      </c>
      <c r="F279" s="159">
        <v>0.74735365011005817</v>
      </c>
      <c r="G279" s="159">
        <v>0.72828701177623356</v>
      </c>
      <c r="H279" s="159">
        <v>0.7127052326869685</v>
      </c>
    </row>
    <row r="280" spans="1:8" x14ac:dyDescent="0.25">
      <c r="A280" s="157">
        <v>45992</v>
      </c>
      <c r="B280" t="s">
        <v>113</v>
      </c>
      <c r="C280" t="s">
        <v>105</v>
      </c>
      <c r="D280" t="s">
        <v>108</v>
      </c>
      <c r="F280" s="159">
        <v>0.74735365011005817</v>
      </c>
      <c r="G280" s="159">
        <v>0.72828701177623356</v>
      </c>
      <c r="H280" s="159">
        <v>0.7127052326869685</v>
      </c>
    </row>
    <row r="281" spans="1:8" x14ac:dyDescent="0.25">
      <c r="A281" s="157">
        <v>46023</v>
      </c>
      <c r="B281" t="s">
        <v>113</v>
      </c>
      <c r="C281" t="s">
        <v>105</v>
      </c>
      <c r="D281" t="s">
        <v>108</v>
      </c>
      <c r="F281" s="159">
        <v>0.74735365011005817</v>
      </c>
      <c r="G281" s="159">
        <v>0.72828701177623356</v>
      </c>
      <c r="H281" s="159">
        <v>0.7127052326869685</v>
      </c>
    </row>
    <row r="282" spans="1:8" x14ac:dyDescent="0.25">
      <c r="A282" s="157">
        <v>46054</v>
      </c>
      <c r="B282" t="s">
        <v>113</v>
      </c>
      <c r="C282" t="s">
        <v>105</v>
      </c>
      <c r="D282" t="s">
        <v>108</v>
      </c>
      <c r="F282" s="159">
        <v>0.74735365011005817</v>
      </c>
      <c r="G282" s="159">
        <v>0.72828701177623356</v>
      </c>
      <c r="H282" s="159">
        <v>0.7127052326869685</v>
      </c>
    </row>
    <row r="283" spans="1:8" x14ac:dyDescent="0.25">
      <c r="A283" s="157">
        <v>46082</v>
      </c>
      <c r="B283" t="s">
        <v>113</v>
      </c>
      <c r="C283" t="s">
        <v>105</v>
      </c>
      <c r="D283" t="s">
        <v>108</v>
      </c>
      <c r="F283" s="159">
        <v>0.74735365011005817</v>
      </c>
      <c r="G283" s="159">
        <v>0.72828701177623356</v>
      </c>
      <c r="H283" s="159">
        <v>0.7127052326869685</v>
      </c>
    </row>
    <row r="284" spans="1:8" x14ac:dyDescent="0.25">
      <c r="A284" s="157">
        <v>46113</v>
      </c>
      <c r="B284" t="s">
        <v>113</v>
      </c>
      <c r="C284" t="s">
        <v>105</v>
      </c>
      <c r="D284" t="s">
        <v>108</v>
      </c>
      <c r="F284" s="159">
        <v>0.74735365011005817</v>
      </c>
      <c r="G284" s="159">
        <v>0.72828701177623356</v>
      </c>
      <c r="H284" s="159">
        <v>0.7127052326869685</v>
      </c>
    </row>
    <row r="285" spans="1:8" x14ac:dyDescent="0.25">
      <c r="A285" s="157">
        <v>46143</v>
      </c>
      <c r="B285" t="s">
        <v>113</v>
      </c>
      <c r="C285" t="s">
        <v>105</v>
      </c>
      <c r="D285" t="s">
        <v>108</v>
      </c>
      <c r="F285" s="159">
        <v>0.74735365011005817</v>
      </c>
      <c r="G285" s="159">
        <v>0.72828701177623356</v>
      </c>
      <c r="H285" s="159">
        <v>0.7127052326869685</v>
      </c>
    </row>
    <row r="286" spans="1:8" x14ac:dyDescent="0.25">
      <c r="A286" s="157">
        <v>46174</v>
      </c>
      <c r="B286" t="s">
        <v>113</v>
      </c>
      <c r="C286" t="s">
        <v>105</v>
      </c>
      <c r="D286" t="s">
        <v>108</v>
      </c>
      <c r="F286" s="159">
        <v>0.74735365011005817</v>
      </c>
      <c r="G286" s="159">
        <v>0.72828701177623356</v>
      </c>
      <c r="H286" s="159">
        <v>0.7127052326869685</v>
      </c>
    </row>
    <row r="287" spans="1:8" x14ac:dyDescent="0.25">
      <c r="A287" s="157">
        <v>46204</v>
      </c>
      <c r="B287" t="s">
        <v>113</v>
      </c>
      <c r="C287" t="s">
        <v>105</v>
      </c>
      <c r="D287" t="s">
        <v>108</v>
      </c>
      <c r="F287" s="159">
        <v>0.74735365011005817</v>
      </c>
      <c r="G287" s="159">
        <v>0.72828701177623356</v>
      </c>
      <c r="H287" s="159">
        <v>0.7127052326869685</v>
      </c>
    </row>
    <row r="288" spans="1:8" x14ac:dyDescent="0.25">
      <c r="A288" s="157">
        <v>46235</v>
      </c>
      <c r="B288" t="s">
        <v>113</v>
      </c>
      <c r="C288" t="s">
        <v>105</v>
      </c>
      <c r="D288" t="s">
        <v>108</v>
      </c>
      <c r="F288" s="159">
        <v>0.74735365011005817</v>
      </c>
      <c r="G288" s="159">
        <v>0.72828701177623356</v>
      </c>
      <c r="H288" s="159">
        <v>0.7127052326869685</v>
      </c>
    </row>
    <row r="289" spans="1:8" x14ac:dyDescent="0.25">
      <c r="A289" s="157">
        <v>46266</v>
      </c>
      <c r="B289" t="s">
        <v>113</v>
      </c>
      <c r="C289" t="s">
        <v>105</v>
      </c>
      <c r="D289" t="s">
        <v>108</v>
      </c>
      <c r="F289" s="159">
        <v>0.74735365011005817</v>
      </c>
      <c r="G289" s="159">
        <v>0.72828701177623356</v>
      </c>
      <c r="H289" s="159">
        <v>0.7127052326869685</v>
      </c>
    </row>
    <row r="290" spans="1:8" x14ac:dyDescent="0.25">
      <c r="A290" s="157">
        <v>45931</v>
      </c>
      <c r="B290" t="s">
        <v>113</v>
      </c>
      <c r="C290" t="s">
        <v>95</v>
      </c>
      <c r="D290" t="s">
        <v>96</v>
      </c>
      <c r="F290" s="159">
        <v>1352.6016571409702</v>
      </c>
      <c r="G290" s="159">
        <v>1348.6364466666669</v>
      </c>
      <c r="H290" s="159">
        <v>1305.7896266666669</v>
      </c>
    </row>
    <row r="291" spans="1:8" x14ac:dyDescent="0.25">
      <c r="A291" s="157">
        <v>45962</v>
      </c>
      <c r="B291" t="s">
        <v>113</v>
      </c>
      <c r="C291" t="s">
        <v>95</v>
      </c>
      <c r="D291" t="s">
        <v>96</v>
      </c>
      <c r="F291" s="159">
        <v>1352.6016571409702</v>
      </c>
      <c r="G291" s="159">
        <v>1348.6364466666669</v>
      </c>
      <c r="H291" s="159">
        <v>1305.7896266666669</v>
      </c>
    </row>
    <row r="292" spans="1:8" x14ac:dyDescent="0.25">
      <c r="A292" s="157">
        <v>45992</v>
      </c>
      <c r="B292" t="s">
        <v>113</v>
      </c>
      <c r="C292" t="s">
        <v>95</v>
      </c>
      <c r="D292" t="s">
        <v>96</v>
      </c>
      <c r="F292" s="159">
        <v>1352.6016571409702</v>
      </c>
      <c r="G292" s="159">
        <v>1348.6364466666669</v>
      </c>
      <c r="H292" s="159">
        <v>1305.7896266666669</v>
      </c>
    </row>
    <row r="293" spans="1:8" x14ac:dyDescent="0.25">
      <c r="A293" s="157">
        <v>46023</v>
      </c>
      <c r="B293" t="s">
        <v>113</v>
      </c>
      <c r="C293" t="s">
        <v>95</v>
      </c>
      <c r="D293" t="s">
        <v>96</v>
      </c>
      <c r="F293" s="159">
        <v>1352.6016571409702</v>
      </c>
      <c r="G293" s="159">
        <v>1348.6364466666669</v>
      </c>
      <c r="H293" s="159">
        <v>1305.7896266666669</v>
      </c>
    </row>
    <row r="294" spans="1:8" x14ac:dyDescent="0.25">
      <c r="A294" s="157">
        <v>46054</v>
      </c>
      <c r="B294" t="s">
        <v>113</v>
      </c>
      <c r="C294" t="s">
        <v>95</v>
      </c>
      <c r="D294" t="s">
        <v>96</v>
      </c>
      <c r="F294" s="159">
        <v>1352.6016571409702</v>
      </c>
      <c r="G294" s="159">
        <v>1348.6364466666669</v>
      </c>
      <c r="H294" s="159">
        <v>1305.7896266666669</v>
      </c>
    </row>
    <row r="295" spans="1:8" x14ac:dyDescent="0.25">
      <c r="A295" s="157">
        <v>46082</v>
      </c>
      <c r="B295" t="s">
        <v>113</v>
      </c>
      <c r="C295" t="s">
        <v>95</v>
      </c>
      <c r="D295" t="s">
        <v>96</v>
      </c>
      <c r="F295" s="159">
        <v>1352.6016571409702</v>
      </c>
      <c r="G295" s="159">
        <v>1348.6364466666669</v>
      </c>
      <c r="H295" s="159">
        <v>1305.7896266666669</v>
      </c>
    </row>
    <row r="296" spans="1:8" x14ac:dyDescent="0.25">
      <c r="A296" s="157">
        <v>46113</v>
      </c>
      <c r="B296" t="s">
        <v>113</v>
      </c>
      <c r="C296" t="s">
        <v>95</v>
      </c>
      <c r="D296" t="s">
        <v>96</v>
      </c>
      <c r="F296" s="159">
        <v>1352.6016571409702</v>
      </c>
      <c r="G296" s="159">
        <v>1348.6364466666669</v>
      </c>
      <c r="H296" s="159">
        <v>1305.7896266666669</v>
      </c>
    </row>
    <row r="297" spans="1:8" x14ac:dyDescent="0.25">
      <c r="A297" s="157">
        <v>46143</v>
      </c>
      <c r="B297" t="s">
        <v>113</v>
      </c>
      <c r="C297" t="s">
        <v>95</v>
      </c>
      <c r="D297" t="s">
        <v>96</v>
      </c>
      <c r="F297" s="159">
        <v>1352.6016571409702</v>
      </c>
      <c r="G297" s="159">
        <v>1348.6364466666669</v>
      </c>
      <c r="H297" s="159">
        <v>1305.7896266666669</v>
      </c>
    </row>
    <row r="298" spans="1:8" x14ac:dyDescent="0.25">
      <c r="A298" s="157">
        <v>46174</v>
      </c>
      <c r="B298" t="s">
        <v>113</v>
      </c>
      <c r="C298" t="s">
        <v>95</v>
      </c>
      <c r="D298" t="s">
        <v>96</v>
      </c>
      <c r="F298" s="159">
        <v>1352.6016571409702</v>
      </c>
      <c r="G298" s="159">
        <v>1348.6364466666669</v>
      </c>
      <c r="H298" s="159">
        <v>1305.7896266666669</v>
      </c>
    </row>
    <row r="299" spans="1:8" x14ac:dyDescent="0.25">
      <c r="A299" s="157">
        <v>46204</v>
      </c>
      <c r="B299" t="s">
        <v>113</v>
      </c>
      <c r="C299" t="s">
        <v>95</v>
      </c>
      <c r="D299" t="s">
        <v>96</v>
      </c>
      <c r="F299" s="159">
        <v>1352.6016571409702</v>
      </c>
      <c r="G299" s="159">
        <v>1348.6364466666669</v>
      </c>
      <c r="H299" s="159">
        <v>1305.7896266666669</v>
      </c>
    </row>
    <row r="300" spans="1:8" x14ac:dyDescent="0.25">
      <c r="A300" s="157">
        <v>46235</v>
      </c>
      <c r="B300" t="s">
        <v>113</v>
      </c>
      <c r="C300" t="s">
        <v>95</v>
      </c>
      <c r="D300" t="s">
        <v>96</v>
      </c>
      <c r="F300" s="159">
        <v>1352.6016571409702</v>
      </c>
      <c r="G300" s="159">
        <v>1348.6364466666669</v>
      </c>
      <c r="H300" s="159">
        <v>1305.7896266666669</v>
      </c>
    </row>
    <row r="301" spans="1:8" x14ac:dyDescent="0.25">
      <c r="A301" s="157">
        <v>46266</v>
      </c>
      <c r="B301" t="s">
        <v>113</v>
      </c>
      <c r="C301" t="s">
        <v>95</v>
      </c>
      <c r="D301" t="s">
        <v>96</v>
      </c>
      <c r="F301" s="159">
        <v>1352.6016571409702</v>
      </c>
      <c r="G301" s="159">
        <v>1348.6364466666669</v>
      </c>
      <c r="H301" s="159">
        <v>1305.7896266666669</v>
      </c>
    </row>
    <row r="302" spans="1:8" x14ac:dyDescent="0.25">
      <c r="A302" s="157">
        <v>45931</v>
      </c>
      <c r="B302" t="s">
        <v>113</v>
      </c>
      <c r="C302" t="s">
        <v>110</v>
      </c>
      <c r="D302" t="s">
        <v>97</v>
      </c>
      <c r="F302" s="159">
        <v>1.0166492999603901E-4</v>
      </c>
      <c r="G302" s="159">
        <v>1.0137019640280693E-4</v>
      </c>
      <c r="H302" s="159">
        <v>1.0189934955584371E-4</v>
      </c>
    </row>
    <row r="303" spans="1:8" x14ac:dyDescent="0.25">
      <c r="A303" s="157">
        <v>45962</v>
      </c>
      <c r="B303" t="s">
        <v>113</v>
      </c>
      <c r="C303" t="s">
        <v>110</v>
      </c>
      <c r="D303" t="s">
        <v>97</v>
      </c>
      <c r="F303" s="159">
        <v>1.0166492999603901E-4</v>
      </c>
      <c r="G303" s="159">
        <v>1.0137019640280693E-4</v>
      </c>
      <c r="H303" s="159">
        <v>1.0189934955584371E-4</v>
      </c>
    </row>
    <row r="304" spans="1:8" x14ac:dyDescent="0.25">
      <c r="A304" s="157">
        <v>45992</v>
      </c>
      <c r="B304" t="s">
        <v>113</v>
      </c>
      <c r="C304" t="s">
        <v>110</v>
      </c>
      <c r="D304" t="s">
        <v>97</v>
      </c>
      <c r="F304" s="159">
        <v>1.0166492999603901E-4</v>
      </c>
      <c r="G304" s="159">
        <v>1.0137019640280693E-4</v>
      </c>
      <c r="H304" s="159">
        <v>1.0189934955584371E-4</v>
      </c>
    </row>
    <row r="305" spans="1:8" x14ac:dyDescent="0.25">
      <c r="A305" s="157">
        <v>46023</v>
      </c>
      <c r="B305" t="s">
        <v>113</v>
      </c>
      <c r="C305" t="s">
        <v>110</v>
      </c>
      <c r="D305" t="s">
        <v>97</v>
      </c>
      <c r="F305" s="159">
        <v>1.0166492999603901E-4</v>
      </c>
      <c r="G305" s="159">
        <v>1.0137019640280693E-4</v>
      </c>
      <c r="H305" s="159">
        <v>1.0189934955584371E-4</v>
      </c>
    </row>
    <row r="306" spans="1:8" x14ac:dyDescent="0.25">
      <c r="A306" s="157">
        <v>46054</v>
      </c>
      <c r="B306" t="s">
        <v>113</v>
      </c>
      <c r="C306" t="s">
        <v>110</v>
      </c>
      <c r="D306" t="s">
        <v>97</v>
      </c>
      <c r="F306" s="159">
        <v>1.0166492999603901E-4</v>
      </c>
      <c r="G306" s="159">
        <v>1.0137019640280693E-4</v>
      </c>
      <c r="H306" s="159">
        <v>1.0189934955584371E-4</v>
      </c>
    </row>
    <row r="307" spans="1:8" x14ac:dyDescent="0.25">
      <c r="A307" s="157">
        <v>46082</v>
      </c>
      <c r="B307" t="s">
        <v>113</v>
      </c>
      <c r="C307" t="s">
        <v>110</v>
      </c>
      <c r="D307" t="s">
        <v>97</v>
      </c>
      <c r="F307" s="159">
        <v>1.0166492999603901E-4</v>
      </c>
      <c r="G307" s="159">
        <v>1.0137019640280693E-4</v>
      </c>
      <c r="H307" s="159">
        <v>1.0189934955584371E-4</v>
      </c>
    </row>
    <row r="308" spans="1:8" x14ac:dyDescent="0.25">
      <c r="A308" s="157">
        <v>46113</v>
      </c>
      <c r="B308" t="s">
        <v>113</v>
      </c>
      <c r="C308" t="s">
        <v>110</v>
      </c>
      <c r="D308" t="s">
        <v>97</v>
      </c>
      <c r="F308" s="159">
        <v>1.0166492999603901E-4</v>
      </c>
      <c r="G308" s="159">
        <v>1.0137019640280693E-4</v>
      </c>
      <c r="H308" s="159">
        <v>1.0189934955584371E-4</v>
      </c>
    </row>
    <row r="309" spans="1:8" x14ac:dyDescent="0.25">
      <c r="A309" s="157">
        <v>46143</v>
      </c>
      <c r="B309" t="s">
        <v>113</v>
      </c>
      <c r="C309" t="s">
        <v>110</v>
      </c>
      <c r="D309" t="s">
        <v>97</v>
      </c>
      <c r="F309" s="159">
        <v>1.0166492999603901E-4</v>
      </c>
      <c r="G309" s="159">
        <v>1.0137019640280693E-4</v>
      </c>
      <c r="H309" s="159">
        <v>1.0189934955584371E-4</v>
      </c>
    </row>
    <row r="310" spans="1:8" x14ac:dyDescent="0.25">
      <c r="A310" s="157">
        <v>46174</v>
      </c>
      <c r="B310" t="s">
        <v>113</v>
      </c>
      <c r="C310" t="s">
        <v>110</v>
      </c>
      <c r="D310" t="s">
        <v>97</v>
      </c>
      <c r="F310" s="159">
        <v>1.0166492999603901E-4</v>
      </c>
      <c r="G310" s="159">
        <v>1.0137019640280693E-4</v>
      </c>
      <c r="H310" s="159">
        <v>1.0189934955584371E-4</v>
      </c>
    </row>
    <row r="311" spans="1:8" x14ac:dyDescent="0.25">
      <c r="A311" s="157">
        <v>46204</v>
      </c>
      <c r="B311" t="s">
        <v>113</v>
      </c>
      <c r="C311" t="s">
        <v>110</v>
      </c>
      <c r="D311" t="s">
        <v>97</v>
      </c>
      <c r="F311" s="159">
        <v>1.0166492999603901E-4</v>
      </c>
      <c r="G311" s="159">
        <v>1.0137019640280693E-4</v>
      </c>
      <c r="H311" s="159">
        <v>1.0189934955584371E-4</v>
      </c>
    </row>
    <row r="312" spans="1:8" x14ac:dyDescent="0.25">
      <c r="A312" s="157">
        <v>46235</v>
      </c>
      <c r="B312" t="s">
        <v>113</v>
      </c>
      <c r="C312" t="s">
        <v>110</v>
      </c>
      <c r="D312" t="s">
        <v>97</v>
      </c>
      <c r="F312" s="159">
        <v>1.0166492999603901E-4</v>
      </c>
      <c r="G312" s="159">
        <v>1.0137019640280693E-4</v>
      </c>
      <c r="H312" s="159">
        <v>1.0189934955584371E-4</v>
      </c>
    </row>
    <row r="313" spans="1:8" x14ac:dyDescent="0.25">
      <c r="A313" s="157">
        <v>46266</v>
      </c>
      <c r="B313" t="s">
        <v>113</v>
      </c>
      <c r="C313" t="s">
        <v>110</v>
      </c>
      <c r="D313" t="s">
        <v>97</v>
      </c>
      <c r="F313" s="159">
        <v>1.0166492999603901E-4</v>
      </c>
      <c r="G313" s="159">
        <v>1.0137019640280693E-4</v>
      </c>
      <c r="H313" s="159">
        <v>1.0189934955584371E-4</v>
      </c>
    </row>
    <row r="314" spans="1:8" x14ac:dyDescent="0.25">
      <c r="A314" s="157">
        <v>45931</v>
      </c>
      <c r="B314" t="s">
        <v>113</v>
      </c>
      <c r="C314" t="s">
        <v>110</v>
      </c>
      <c r="D314" t="s">
        <v>100</v>
      </c>
      <c r="F314" s="159">
        <v>1.779251628791629E-9</v>
      </c>
      <c r="G314" s="159">
        <v>0</v>
      </c>
      <c r="H314" s="159">
        <v>0</v>
      </c>
    </row>
    <row r="315" spans="1:8" x14ac:dyDescent="0.25">
      <c r="A315" s="157">
        <v>45962</v>
      </c>
      <c r="B315" t="s">
        <v>113</v>
      </c>
      <c r="C315" t="s">
        <v>110</v>
      </c>
      <c r="D315" t="s">
        <v>100</v>
      </c>
      <c r="F315" s="159">
        <v>1.779251628791629E-9</v>
      </c>
      <c r="G315" s="159">
        <v>0</v>
      </c>
      <c r="H315" s="159">
        <v>0</v>
      </c>
    </row>
    <row r="316" spans="1:8" x14ac:dyDescent="0.25">
      <c r="A316" s="157">
        <v>45992</v>
      </c>
      <c r="B316" t="s">
        <v>113</v>
      </c>
      <c r="C316" t="s">
        <v>110</v>
      </c>
      <c r="D316" t="s">
        <v>100</v>
      </c>
      <c r="F316" s="159">
        <v>1.779251628791629E-9</v>
      </c>
      <c r="G316" s="159">
        <v>0</v>
      </c>
      <c r="H316" s="159">
        <v>0</v>
      </c>
    </row>
    <row r="317" spans="1:8" x14ac:dyDescent="0.25">
      <c r="A317" s="157">
        <v>46023</v>
      </c>
      <c r="B317" t="s">
        <v>113</v>
      </c>
      <c r="C317" t="s">
        <v>110</v>
      </c>
      <c r="D317" t="s">
        <v>100</v>
      </c>
      <c r="F317" s="159">
        <v>1.779251628791629E-9</v>
      </c>
      <c r="G317" s="159">
        <v>0</v>
      </c>
      <c r="H317" s="159">
        <v>0</v>
      </c>
    </row>
    <row r="318" spans="1:8" x14ac:dyDescent="0.25">
      <c r="A318" s="157">
        <v>46054</v>
      </c>
      <c r="B318" t="s">
        <v>113</v>
      </c>
      <c r="C318" t="s">
        <v>110</v>
      </c>
      <c r="D318" t="s">
        <v>100</v>
      </c>
      <c r="F318" s="159">
        <v>1.779251628791629E-9</v>
      </c>
      <c r="G318" s="159">
        <v>0</v>
      </c>
      <c r="H318" s="159">
        <v>0</v>
      </c>
    </row>
    <row r="319" spans="1:8" x14ac:dyDescent="0.25">
      <c r="A319" s="157">
        <v>46082</v>
      </c>
      <c r="B319" t="s">
        <v>113</v>
      </c>
      <c r="C319" t="s">
        <v>110</v>
      </c>
      <c r="D319" t="s">
        <v>100</v>
      </c>
      <c r="F319" s="159">
        <v>1.779251628791629E-9</v>
      </c>
      <c r="G319" s="159">
        <v>0</v>
      </c>
      <c r="H319" s="159">
        <v>0</v>
      </c>
    </row>
    <row r="320" spans="1:8" x14ac:dyDescent="0.25">
      <c r="A320" s="157">
        <v>46113</v>
      </c>
      <c r="B320" t="s">
        <v>113</v>
      </c>
      <c r="C320" t="s">
        <v>110</v>
      </c>
      <c r="D320" t="s">
        <v>100</v>
      </c>
      <c r="F320" s="159">
        <v>1.779251628791629E-9</v>
      </c>
      <c r="G320" s="159">
        <v>0</v>
      </c>
      <c r="H320" s="159">
        <v>0</v>
      </c>
    </row>
    <row r="321" spans="1:8" x14ac:dyDescent="0.25">
      <c r="A321" s="157">
        <v>46143</v>
      </c>
      <c r="B321" t="s">
        <v>113</v>
      </c>
      <c r="C321" t="s">
        <v>110</v>
      </c>
      <c r="D321" t="s">
        <v>100</v>
      </c>
      <c r="F321" s="159">
        <v>1.779251628791629E-9</v>
      </c>
      <c r="G321" s="159">
        <v>0</v>
      </c>
      <c r="H321" s="159">
        <v>0</v>
      </c>
    </row>
    <row r="322" spans="1:8" x14ac:dyDescent="0.25">
      <c r="A322" s="157">
        <v>46174</v>
      </c>
      <c r="B322" t="s">
        <v>113</v>
      </c>
      <c r="C322" t="s">
        <v>110</v>
      </c>
      <c r="D322" t="s">
        <v>100</v>
      </c>
      <c r="F322" s="159">
        <v>1.779251628791629E-9</v>
      </c>
      <c r="G322" s="159">
        <v>0</v>
      </c>
      <c r="H322" s="159">
        <v>0</v>
      </c>
    </row>
    <row r="323" spans="1:8" x14ac:dyDescent="0.25">
      <c r="A323" s="157">
        <v>46204</v>
      </c>
      <c r="B323" t="s">
        <v>113</v>
      </c>
      <c r="C323" t="s">
        <v>110</v>
      </c>
      <c r="D323" t="s">
        <v>100</v>
      </c>
      <c r="F323" s="159">
        <v>1.779251628791629E-9</v>
      </c>
      <c r="G323" s="159">
        <v>0</v>
      </c>
      <c r="H323" s="159">
        <v>0</v>
      </c>
    </row>
    <row r="324" spans="1:8" x14ac:dyDescent="0.25">
      <c r="A324" s="157">
        <v>46235</v>
      </c>
      <c r="B324" t="s">
        <v>113</v>
      </c>
      <c r="C324" t="s">
        <v>110</v>
      </c>
      <c r="D324" t="s">
        <v>100</v>
      </c>
      <c r="F324" s="159">
        <v>1.779251628791629E-9</v>
      </c>
      <c r="G324" s="159">
        <v>0</v>
      </c>
      <c r="H324" s="159">
        <v>0</v>
      </c>
    </row>
    <row r="325" spans="1:8" x14ac:dyDescent="0.25">
      <c r="A325" s="157">
        <v>46266</v>
      </c>
      <c r="B325" t="s">
        <v>113</v>
      </c>
      <c r="C325" t="s">
        <v>110</v>
      </c>
      <c r="D325" t="s">
        <v>100</v>
      </c>
      <c r="F325" s="159">
        <v>1.779251628791629E-9</v>
      </c>
      <c r="G325" s="159">
        <v>0</v>
      </c>
      <c r="H325" s="1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5945-29F3-438F-9EA8-BD581231F66B}">
  <sheetPr codeName="Sheet3"/>
  <dimension ref="A1:Z72"/>
  <sheetViews>
    <sheetView topLeftCell="A27" workbookViewId="0">
      <selection activeCell="B67" sqref="B67:M67"/>
    </sheetView>
  </sheetViews>
  <sheetFormatPr defaultColWidth="8.7109375" defaultRowHeight="15" x14ac:dyDescent="0.25"/>
  <cols>
    <col min="1" max="1" width="28.140625" style="23" bestFit="1" customWidth="1"/>
    <col min="2" max="13" width="13.28515625" bestFit="1" customWidth="1"/>
    <col min="15" max="15" width="15.85546875" customWidth="1"/>
    <col min="16" max="18" width="11.28515625" style="29" bestFit="1" customWidth="1"/>
    <col min="19" max="19" width="8" style="29" bestFit="1" customWidth="1"/>
    <col min="22" max="22" width="15.42578125" bestFit="1" customWidth="1"/>
    <col min="23" max="25" width="7" bestFit="1" customWidth="1"/>
    <col min="26" max="26" width="8" bestFit="1" customWidth="1"/>
  </cols>
  <sheetData>
    <row r="1" spans="1:26" s="21" customFormat="1" x14ac:dyDescent="0.25">
      <c r="A1" s="20" t="s">
        <v>23</v>
      </c>
      <c r="B1" s="21">
        <v>45596</v>
      </c>
      <c r="C1" s="21">
        <v>45626</v>
      </c>
      <c r="D1" s="21">
        <v>45657</v>
      </c>
      <c r="E1" s="21">
        <v>45688</v>
      </c>
      <c r="F1" s="21">
        <v>45716</v>
      </c>
      <c r="G1" s="21">
        <v>45747</v>
      </c>
      <c r="H1" s="21">
        <v>45777</v>
      </c>
      <c r="I1" s="21">
        <v>45808</v>
      </c>
      <c r="J1" s="21">
        <v>45838</v>
      </c>
      <c r="K1" s="21">
        <v>45869</v>
      </c>
      <c r="L1" s="21">
        <v>45900</v>
      </c>
      <c r="M1" s="21">
        <v>45930</v>
      </c>
      <c r="P1" s="22"/>
      <c r="Q1" s="22"/>
      <c r="R1" s="22"/>
      <c r="S1" s="22"/>
    </row>
    <row r="2" spans="1:26" x14ac:dyDescent="0.25">
      <c r="O2" s="24" t="s">
        <v>26</v>
      </c>
      <c r="P2" s="25" t="s">
        <v>18</v>
      </c>
      <c r="Q2" s="25" t="s">
        <v>19</v>
      </c>
      <c r="R2" s="25" t="s">
        <v>20</v>
      </c>
      <c r="S2" s="25" t="s">
        <v>27</v>
      </c>
      <c r="V2" s="24" t="s">
        <v>28</v>
      </c>
      <c r="W2" s="25" t="s">
        <v>18</v>
      </c>
      <c r="X2" s="25" t="s">
        <v>19</v>
      </c>
      <c r="Y2" s="25" t="s">
        <v>20</v>
      </c>
      <c r="Z2" s="25" t="s">
        <v>27</v>
      </c>
    </row>
    <row r="3" spans="1:26" x14ac:dyDescent="0.25">
      <c r="A3" s="23" t="s">
        <v>29</v>
      </c>
      <c r="B3" s="26">
        <v>72353.847999999998</v>
      </c>
      <c r="C3" s="26">
        <v>70502.478000000003</v>
      </c>
      <c r="D3" s="26">
        <v>76291.781000000003</v>
      </c>
      <c r="E3" s="26">
        <v>70952.100999999995</v>
      </c>
      <c r="F3" s="26">
        <v>62662.083000000006</v>
      </c>
      <c r="G3" s="26">
        <v>74883.62999999999</v>
      </c>
      <c r="H3" s="26">
        <v>74829.498000000007</v>
      </c>
      <c r="I3" s="26">
        <v>76786.120999999999</v>
      </c>
      <c r="J3" s="26">
        <v>78039.753000000012</v>
      </c>
      <c r="K3" s="26">
        <v>69919.451000000001</v>
      </c>
      <c r="L3" s="26">
        <v>71142.206999999995</v>
      </c>
      <c r="M3" s="26">
        <v>76706.796999999991</v>
      </c>
      <c r="O3" t="s">
        <v>30</v>
      </c>
      <c r="P3" s="27">
        <f>AVERAGE(B3:M3)</f>
        <v>72922.479000000007</v>
      </c>
      <c r="Q3" s="28">
        <f>AVERAGE(H3:M3)</f>
        <v>74570.637833333341</v>
      </c>
      <c r="R3" s="28">
        <f>AVERAGE(K3:M3)</f>
        <v>72589.485000000001</v>
      </c>
      <c r="S3" s="29">
        <v>74.3</v>
      </c>
      <c r="V3" t="s">
        <v>30</v>
      </c>
      <c r="W3" s="27">
        <v>72.922478999999996</v>
      </c>
      <c r="X3" s="28">
        <v>74.570637833333294</v>
      </c>
      <c r="Y3" s="28">
        <v>72.589484999999996</v>
      </c>
      <c r="Z3" s="29">
        <v>74.3</v>
      </c>
    </row>
    <row r="4" spans="1:26" x14ac:dyDescent="0.25">
      <c r="A4" s="23" t="s">
        <v>31</v>
      </c>
      <c r="B4" s="26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O4" t="s">
        <v>32</v>
      </c>
      <c r="P4" s="27">
        <f>AVERAGE(B4:M4)</f>
        <v>0</v>
      </c>
      <c r="Q4" s="28">
        <f>AVERAGE(H4:M4)</f>
        <v>0</v>
      </c>
      <c r="R4" s="28">
        <f>AVERAGE(K4:M4)</f>
        <v>0</v>
      </c>
      <c r="V4" t="s">
        <v>32</v>
      </c>
      <c r="W4" s="27">
        <v>0</v>
      </c>
      <c r="X4" s="28">
        <v>0</v>
      </c>
      <c r="Y4" s="28">
        <v>0</v>
      </c>
      <c r="Z4" s="29"/>
    </row>
    <row r="5" spans="1:26" x14ac:dyDescent="0.25">
      <c r="A5" s="23" t="s">
        <v>33</v>
      </c>
      <c r="B5" s="26">
        <v>9207.9959999999992</v>
      </c>
      <c r="C5" s="26">
        <v>8723.2340000000004</v>
      </c>
      <c r="D5" s="26">
        <v>8649.8230000000003</v>
      </c>
      <c r="E5" s="26">
        <v>7846.2709999999997</v>
      </c>
      <c r="F5" s="26">
        <v>6166.1799999999994</v>
      </c>
      <c r="G5" s="26">
        <v>8340.9169999999995</v>
      </c>
      <c r="H5" s="26">
        <v>8759.5779999999995</v>
      </c>
      <c r="I5" s="26">
        <v>6530.3360000000002</v>
      </c>
      <c r="J5" s="26">
        <v>11455.539999999999</v>
      </c>
      <c r="K5" s="26">
        <v>2682.9489999999996</v>
      </c>
      <c r="L5" s="26">
        <v>9555.773000000001</v>
      </c>
      <c r="M5" s="26">
        <v>9242.44</v>
      </c>
      <c r="O5" t="s">
        <v>34</v>
      </c>
      <c r="P5" s="27">
        <f>AVERAGE(B5:M5)</f>
        <v>8096.7530833333331</v>
      </c>
      <c r="Q5" s="28">
        <f>AVERAGE(H5:M5)</f>
        <v>8037.7693333333336</v>
      </c>
      <c r="R5" s="28">
        <f>AVERAGE(K5:M5)</f>
        <v>7160.3873333333349</v>
      </c>
      <c r="S5" s="29">
        <v>4.49</v>
      </c>
      <c r="V5" t="s">
        <v>34</v>
      </c>
      <c r="W5" s="27">
        <v>8.0967530833333292</v>
      </c>
      <c r="X5" s="28">
        <v>8.0377693333333404</v>
      </c>
      <c r="Y5" s="28">
        <v>7.1603873333333299</v>
      </c>
      <c r="Z5" s="29">
        <v>4.49</v>
      </c>
    </row>
    <row r="6" spans="1:26" x14ac:dyDescent="0.25">
      <c r="A6" s="23" t="s">
        <v>35</v>
      </c>
      <c r="B6" s="26">
        <v>81561.843999999997</v>
      </c>
      <c r="C6" s="26">
        <v>79225.712</v>
      </c>
      <c r="D6" s="26">
        <v>84941.603999999992</v>
      </c>
      <c r="E6" s="26">
        <v>78798.372000000003</v>
      </c>
      <c r="F6" s="26">
        <v>68828.263000000006</v>
      </c>
      <c r="G6" s="26">
        <v>83224.547000000006</v>
      </c>
      <c r="H6" s="26">
        <v>83589.076000000001</v>
      </c>
      <c r="I6" s="26">
        <v>83316.456999999995</v>
      </c>
      <c r="J6" s="26">
        <v>89495.293000000005</v>
      </c>
      <c r="K6" s="26">
        <v>72602.400000000009</v>
      </c>
      <c r="L6" s="26">
        <v>80697.98</v>
      </c>
      <c r="M6" s="26">
        <v>85949.236999999994</v>
      </c>
      <c r="W6" s="29"/>
      <c r="X6" s="29"/>
      <c r="Y6" s="29"/>
      <c r="Z6" s="29"/>
    </row>
    <row r="7" spans="1:26" x14ac:dyDescent="0.2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W7" s="29"/>
      <c r="X7" s="29"/>
      <c r="Y7" s="29"/>
      <c r="Z7" s="29"/>
    </row>
    <row r="8" spans="1:26" x14ac:dyDescent="0.25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W8" s="29"/>
      <c r="X8" s="29"/>
      <c r="Y8" s="29"/>
      <c r="Z8" s="29"/>
    </row>
    <row r="9" spans="1:26" x14ac:dyDescent="0.25">
      <c r="A9" s="23" t="s">
        <v>36</v>
      </c>
      <c r="B9" s="26">
        <v>4554938.09</v>
      </c>
      <c r="C9" s="26">
        <v>4410882.8499999996</v>
      </c>
      <c r="D9" s="26">
        <v>4784355.49</v>
      </c>
      <c r="E9" s="26">
        <v>4808684.1800000006</v>
      </c>
      <c r="F9" s="26">
        <v>4010354.5</v>
      </c>
      <c r="G9" s="26">
        <v>4443915.3</v>
      </c>
      <c r="H9" s="26">
        <v>4169707.0599999996</v>
      </c>
      <c r="I9" s="26">
        <v>4335379.8600000003</v>
      </c>
      <c r="J9" s="26">
        <v>4928770.3</v>
      </c>
      <c r="K9" s="26">
        <v>4424675.04</v>
      </c>
      <c r="L9" s="26">
        <v>4171704.2899999996</v>
      </c>
      <c r="M9" s="26">
        <v>4342062.49</v>
      </c>
      <c r="W9" s="29"/>
      <c r="X9" s="29"/>
      <c r="Y9" s="29"/>
      <c r="Z9" s="29"/>
    </row>
    <row r="10" spans="1:26" x14ac:dyDescent="0.25">
      <c r="A10" s="23" t="s">
        <v>37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W10" s="29"/>
      <c r="X10" s="29"/>
      <c r="Y10" s="29"/>
      <c r="Z10" s="29"/>
    </row>
    <row r="11" spans="1:26" x14ac:dyDescent="0.25">
      <c r="A11" s="23" t="s">
        <v>38</v>
      </c>
      <c r="B11" s="26">
        <v>506236.61</v>
      </c>
      <c r="C11" s="26">
        <v>486197.25</v>
      </c>
      <c r="D11" s="26">
        <v>466767.58999999997</v>
      </c>
      <c r="E11" s="26">
        <v>453514.62</v>
      </c>
      <c r="F11" s="26">
        <v>329502.50999999995</v>
      </c>
      <c r="G11" s="26">
        <v>431592.81</v>
      </c>
      <c r="H11" s="26">
        <v>423339.83</v>
      </c>
      <c r="I11" s="26">
        <v>314637.75</v>
      </c>
      <c r="J11" s="26">
        <v>543535.02</v>
      </c>
      <c r="K11" s="26">
        <v>121273.23</v>
      </c>
      <c r="L11" s="26">
        <v>456105.65</v>
      </c>
      <c r="M11" s="26">
        <v>438200.51999999996</v>
      </c>
      <c r="W11" s="29"/>
      <c r="X11" s="29"/>
      <c r="Y11" s="29"/>
      <c r="Z11" s="29"/>
    </row>
    <row r="12" spans="1:26" x14ac:dyDescent="0.25">
      <c r="A12" s="23" t="s">
        <v>39</v>
      </c>
      <c r="B12" s="26">
        <v>9309.16</v>
      </c>
      <c r="C12" s="26">
        <v>6987.7</v>
      </c>
      <c r="D12" s="26">
        <v>7014.08</v>
      </c>
      <c r="E12" s="26">
        <v>19593.219999999998</v>
      </c>
      <c r="F12" s="26">
        <v>17115.89</v>
      </c>
      <c r="G12" s="26">
        <v>15500.24</v>
      </c>
      <c r="H12" s="26">
        <v>36321.96</v>
      </c>
      <c r="I12" s="26">
        <v>41681.949999999997</v>
      </c>
      <c r="J12" s="26">
        <v>46819.6</v>
      </c>
      <c r="K12" s="26">
        <v>14178.88</v>
      </c>
      <c r="L12" s="26">
        <v>38142.1</v>
      </c>
      <c r="M12" s="26">
        <v>37737.15</v>
      </c>
      <c r="W12" s="29"/>
      <c r="X12" s="29"/>
      <c r="Y12" s="29"/>
      <c r="Z12" s="29"/>
    </row>
    <row r="13" spans="1:26" x14ac:dyDescent="0.25">
      <c r="A13" s="23" t="s">
        <v>40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W13" s="29"/>
      <c r="X13" s="29"/>
      <c r="Y13" s="29"/>
      <c r="Z13" s="29"/>
    </row>
    <row r="14" spans="1:26" x14ac:dyDescent="0.25">
      <c r="A14" s="23" t="s">
        <v>41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W14" s="29"/>
      <c r="X14" s="29"/>
      <c r="Y14" s="29"/>
      <c r="Z14" s="29"/>
    </row>
    <row r="15" spans="1:26" x14ac:dyDescent="0.25">
      <c r="A15" s="23" t="s">
        <v>42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W15" s="29"/>
      <c r="X15" s="29"/>
      <c r="Y15" s="29"/>
      <c r="Z15" s="29"/>
    </row>
    <row r="16" spans="1:26" x14ac:dyDescent="0.25">
      <c r="A16" s="23" t="s">
        <v>43</v>
      </c>
      <c r="B16" s="26">
        <v>5070483.8600000003</v>
      </c>
      <c r="C16" s="26">
        <v>4904067.8</v>
      </c>
      <c r="D16" s="26">
        <v>5258137.16</v>
      </c>
      <c r="E16" s="26">
        <v>5281792.0199999996</v>
      </c>
      <c r="F16" s="26">
        <v>4356972.8999999994</v>
      </c>
      <c r="G16" s="26">
        <v>4891008.3499999996</v>
      </c>
      <c r="H16" s="26">
        <v>4629368.8499999996</v>
      </c>
      <c r="I16" s="26">
        <v>4691699.5599999996</v>
      </c>
      <c r="J16" s="26">
        <v>5519124.9199999999</v>
      </c>
      <c r="K16" s="26">
        <v>4560127.1500000004</v>
      </c>
      <c r="L16" s="26">
        <v>4665952.04</v>
      </c>
      <c r="M16" s="26">
        <v>4818000.1599999992</v>
      </c>
      <c r="W16" s="29"/>
      <c r="X16" s="29"/>
      <c r="Y16" s="29"/>
      <c r="Z16" s="29"/>
    </row>
    <row r="17" spans="1:26" x14ac:dyDescent="0.25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W17" s="29"/>
      <c r="X17" s="29"/>
      <c r="Y17" s="29"/>
      <c r="Z17" s="29"/>
    </row>
    <row r="18" spans="1:26" x14ac:dyDescent="0.25">
      <c r="A18" s="23" t="s">
        <v>44</v>
      </c>
      <c r="B18" s="26">
        <f>B9/B3</f>
        <v>62.95363986722586</v>
      </c>
      <c r="C18" s="26">
        <f t="shared" ref="C18:M18" si="0">C9/C3</f>
        <v>62.563515143396799</v>
      </c>
      <c r="D18" s="26">
        <f t="shared" si="0"/>
        <v>62.71128327702823</v>
      </c>
      <c r="E18" s="26">
        <f t="shared" si="0"/>
        <v>67.773668604964925</v>
      </c>
      <c r="F18" s="26">
        <f t="shared" si="0"/>
        <v>63.999699786551936</v>
      </c>
      <c r="G18" s="26">
        <f t="shared" si="0"/>
        <v>59.344282588864885</v>
      </c>
      <c r="H18" s="26">
        <f t="shared" si="0"/>
        <v>55.722772054410939</v>
      </c>
      <c r="I18" s="26">
        <f t="shared" si="0"/>
        <v>56.460461910818495</v>
      </c>
      <c r="J18" s="26">
        <f t="shared" si="0"/>
        <v>63.157174523604645</v>
      </c>
      <c r="K18" s="26">
        <f t="shared" si="0"/>
        <v>63.282462558237192</v>
      </c>
      <c r="L18" s="26">
        <f t="shared" si="0"/>
        <v>58.638949590079484</v>
      </c>
      <c r="M18" s="26">
        <f t="shared" si="0"/>
        <v>56.605967917028273</v>
      </c>
      <c r="N18" s="26"/>
      <c r="W18" s="29"/>
      <c r="X18" s="29"/>
      <c r="Y18" s="29"/>
      <c r="Z18" s="29"/>
    </row>
    <row r="19" spans="1:26" x14ac:dyDescent="0.25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W19" s="29"/>
      <c r="X19" s="29"/>
      <c r="Y19" s="29"/>
      <c r="Z19" s="29"/>
    </row>
    <row r="20" spans="1:26" x14ac:dyDescent="0.25">
      <c r="A20" s="23" t="s">
        <v>46</v>
      </c>
      <c r="B20" s="26">
        <f t="shared" ref="B20:M20" si="1">B11/B5</f>
        <v>54.977935481292569</v>
      </c>
      <c r="C20" s="26">
        <f t="shared" si="1"/>
        <v>55.735894508848439</v>
      </c>
      <c r="D20" s="26">
        <f t="shared" si="1"/>
        <v>53.962675305610297</v>
      </c>
      <c r="E20" s="26">
        <f t="shared" si="1"/>
        <v>57.800019907545895</v>
      </c>
      <c r="F20" s="26">
        <f t="shared" si="1"/>
        <v>53.437056654200816</v>
      </c>
      <c r="G20" s="26">
        <f t="shared" si="1"/>
        <v>51.744048046515751</v>
      </c>
      <c r="H20" s="26">
        <f t="shared" si="1"/>
        <v>48.328792779743502</v>
      </c>
      <c r="I20" s="26">
        <f t="shared" si="1"/>
        <v>48.180943522661003</v>
      </c>
      <c r="J20" s="26">
        <f t="shared" si="1"/>
        <v>47.447350364976252</v>
      </c>
      <c r="K20" s="26">
        <f t="shared" si="1"/>
        <v>45.201466744243</v>
      </c>
      <c r="L20" s="26">
        <f t="shared" si="1"/>
        <v>47.730900472415989</v>
      </c>
      <c r="M20" s="26">
        <f t="shared" si="1"/>
        <v>47.411778707787114</v>
      </c>
      <c r="W20" s="29"/>
      <c r="X20" s="29"/>
      <c r="Y20" s="29"/>
      <c r="Z20" s="29"/>
    </row>
    <row r="21" spans="1:26" x14ac:dyDescent="0.25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W21" s="29"/>
      <c r="X21" s="29"/>
      <c r="Y21" s="29"/>
      <c r="Z21" s="29"/>
    </row>
    <row r="22" spans="1:26" ht="15.75" customHeight="1" thickBot="1" x14ac:dyDescent="0.3">
      <c r="A22" s="23" t="s">
        <v>3</v>
      </c>
      <c r="B22" s="30">
        <v>71.989999999999995</v>
      </c>
      <c r="C22" s="30">
        <v>69.95</v>
      </c>
      <c r="D22" s="30">
        <v>70.12</v>
      </c>
      <c r="E22" s="30">
        <v>75.739999999999995</v>
      </c>
      <c r="F22" s="30">
        <v>71.53</v>
      </c>
      <c r="G22" s="30">
        <v>68.239999999999995</v>
      </c>
      <c r="H22" s="30">
        <v>63.54</v>
      </c>
      <c r="I22" s="30">
        <v>62.17</v>
      </c>
      <c r="J22" s="30">
        <v>68.17</v>
      </c>
      <c r="K22" s="30">
        <v>68.39</v>
      </c>
      <c r="L22" s="30">
        <v>64.86</v>
      </c>
      <c r="M22" s="30">
        <v>63.96</v>
      </c>
      <c r="W22" s="29"/>
      <c r="X22" s="29"/>
      <c r="Y22" s="29"/>
      <c r="Z22" s="29"/>
    </row>
    <row r="23" spans="1:26" ht="15.75" customHeight="1" thickBot="1" x14ac:dyDescent="0.3">
      <c r="A23" s="23" t="s">
        <v>4</v>
      </c>
      <c r="B23" s="30">
        <v>2.2000000000000002</v>
      </c>
      <c r="C23" s="30">
        <v>2.12</v>
      </c>
      <c r="D23" s="30">
        <v>3.01</v>
      </c>
      <c r="E23" s="30">
        <v>4.13</v>
      </c>
      <c r="F23" s="30">
        <v>4.1900000000000004</v>
      </c>
      <c r="G23" s="30">
        <v>4.12</v>
      </c>
      <c r="H23" s="30">
        <v>3.42</v>
      </c>
      <c r="I23" s="30">
        <v>3.12</v>
      </c>
      <c r="J23" s="30">
        <v>3.02</v>
      </c>
      <c r="K23" s="30">
        <v>3.2</v>
      </c>
      <c r="L23" s="30">
        <v>2.91</v>
      </c>
      <c r="M23" s="30">
        <v>2.97</v>
      </c>
      <c r="N23" s="31"/>
      <c r="W23" s="29"/>
      <c r="X23" s="29"/>
      <c r="Y23" s="29"/>
      <c r="Z23" s="29"/>
    </row>
    <row r="24" spans="1:26" x14ac:dyDescent="0.25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O24" s="24" t="s">
        <v>47</v>
      </c>
      <c r="P24" s="25" t="s">
        <v>18</v>
      </c>
      <c r="Q24" s="25" t="s">
        <v>19</v>
      </c>
      <c r="R24" s="25" t="s">
        <v>20</v>
      </c>
      <c r="S24" s="25" t="s">
        <v>27</v>
      </c>
      <c r="V24" s="24" t="s">
        <v>48</v>
      </c>
      <c r="W24" s="25" t="s">
        <v>18</v>
      </c>
      <c r="X24" s="25" t="s">
        <v>19</v>
      </c>
      <c r="Y24" s="25" t="s">
        <v>20</v>
      </c>
      <c r="Z24" s="25" t="s">
        <v>27</v>
      </c>
    </row>
    <row r="25" spans="1:26" x14ac:dyDescent="0.25">
      <c r="A25" s="23" t="s">
        <v>49</v>
      </c>
      <c r="B25" s="26">
        <f>B18-B22</f>
        <v>-9.036360132774135</v>
      </c>
      <c r="C25" s="26">
        <f t="shared" ref="C25:M25" si="2">C18-C22</f>
        <v>-7.3864848566032038</v>
      </c>
      <c r="D25" s="26">
        <f t="shared" si="2"/>
        <v>-7.408716722971775</v>
      </c>
      <c r="E25" s="26">
        <f t="shared" si="2"/>
        <v>-7.9663313950350698</v>
      </c>
      <c r="F25" s="26">
        <f t="shared" si="2"/>
        <v>-7.530300213448065</v>
      </c>
      <c r="G25" s="26">
        <f t="shared" si="2"/>
        <v>-8.8957174111351094</v>
      </c>
      <c r="H25" s="26">
        <f t="shared" si="2"/>
        <v>-7.8172279455890603</v>
      </c>
      <c r="I25" s="26">
        <f t="shared" si="2"/>
        <v>-5.7095380891815068</v>
      </c>
      <c r="J25" s="26">
        <f t="shared" si="2"/>
        <v>-5.0128254763953564</v>
      </c>
      <c r="K25" s="26">
        <f t="shared" si="2"/>
        <v>-5.1075374417628083</v>
      </c>
      <c r="L25" s="26">
        <f t="shared" si="2"/>
        <v>-6.2210504099205153</v>
      </c>
      <c r="M25" s="26">
        <f t="shared" si="2"/>
        <v>-7.3540320829717274</v>
      </c>
      <c r="O25" t="s">
        <v>49</v>
      </c>
      <c r="P25" s="27">
        <f>AVERAGE(B25:M25)</f>
        <v>-7.1205101814823601</v>
      </c>
      <c r="Q25" s="28">
        <f>AVERAGE(H25:M25)</f>
        <v>-6.2037019076368294</v>
      </c>
      <c r="R25" s="28">
        <f>AVERAGE(K25:M25)</f>
        <v>-6.22753997821835</v>
      </c>
      <c r="S25" s="28">
        <v>-6.92</v>
      </c>
      <c r="V25" t="s">
        <v>49</v>
      </c>
      <c r="W25" s="27">
        <v>-7.1205101814823601</v>
      </c>
      <c r="X25" s="28">
        <v>-6.2037019076368196</v>
      </c>
      <c r="Y25" s="28">
        <v>-6.22753997821835</v>
      </c>
      <c r="Z25" s="28">
        <v>-7.12</v>
      </c>
    </row>
    <row r="26" spans="1:26" x14ac:dyDescent="0.25">
      <c r="A26" s="23" t="s">
        <v>50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O26" t="s">
        <v>50</v>
      </c>
      <c r="P26" s="27"/>
      <c r="Q26" s="28"/>
      <c r="R26" s="28"/>
      <c r="V26" t="s">
        <v>50</v>
      </c>
      <c r="W26" s="27"/>
      <c r="X26" s="28"/>
      <c r="Y26" s="28"/>
      <c r="Z26" s="29"/>
    </row>
    <row r="27" spans="1:26" x14ac:dyDescent="0.25">
      <c r="A27" s="23" t="s">
        <v>51</v>
      </c>
      <c r="B27" s="26">
        <f t="shared" ref="B27:M27" si="3">B20/B22</f>
        <v>0.76368850508810349</v>
      </c>
      <c r="C27" s="26">
        <f t="shared" si="3"/>
        <v>0.79679620455823352</v>
      </c>
      <c r="D27" s="26">
        <f t="shared" si="3"/>
        <v>0.7695760882146363</v>
      </c>
      <c r="E27" s="26">
        <f t="shared" si="3"/>
        <v>0.76313731063567336</v>
      </c>
      <c r="F27" s="26">
        <f t="shared" si="3"/>
        <v>0.7470579708402183</v>
      </c>
      <c r="G27" s="26">
        <f t="shared" si="3"/>
        <v>0.75826565132643253</v>
      </c>
      <c r="H27" s="26">
        <f t="shared" si="3"/>
        <v>0.76060423008724432</v>
      </c>
      <c r="I27" s="26">
        <f t="shared" si="3"/>
        <v>0.77498702786972817</v>
      </c>
      <c r="J27" s="26">
        <f t="shared" si="3"/>
        <v>0.69601511463952248</v>
      </c>
      <c r="K27" s="26">
        <f t="shared" si="3"/>
        <v>0.66093678526455624</v>
      </c>
      <c r="L27" s="26">
        <f t="shared" si="3"/>
        <v>0.73590657527622561</v>
      </c>
      <c r="M27" s="26">
        <f t="shared" si="3"/>
        <v>0.74127233752012378</v>
      </c>
      <c r="O27" t="s">
        <v>51</v>
      </c>
      <c r="P27" s="32">
        <f>AVERAGE(B27:M27)</f>
        <v>0.74735365011005817</v>
      </c>
      <c r="Q27" s="32">
        <f>AVERAGE(H27:M27)</f>
        <v>0.72828701177623356</v>
      </c>
      <c r="R27" s="32">
        <f>AVERAGE(K27:M27)</f>
        <v>0.7127052326869685</v>
      </c>
      <c r="S27" s="32">
        <v>0.75</v>
      </c>
      <c r="V27" t="s">
        <v>51</v>
      </c>
      <c r="W27" s="32">
        <v>0.74735365011005805</v>
      </c>
      <c r="X27" s="32">
        <v>0.72828701177623301</v>
      </c>
      <c r="Y27" s="32">
        <v>0.71270523268696895</v>
      </c>
      <c r="Z27" s="32">
        <v>0.75</v>
      </c>
    </row>
    <row r="28" spans="1:26" x14ac:dyDescent="0.25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W28" s="29"/>
      <c r="X28" s="29"/>
      <c r="Y28" s="29"/>
      <c r="Z28" s="29"/>
    </row>
    <row r="29" spans="1:26" x14ac:dyDescent="0.25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W29" s="29"/>
      <c r="X29" s="29"/>
      <c r="Y29" s="29"/>
      <c r="Z29" s="29"/>
    </row>
    <row r="30" spans="1:26" x14ac:dyDescent="0.25">
      <c r="A30" s="23" t="s">
        <v>52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W30" s="29"/>
      <c r="X30" s="29"/>
      <c r="Y30" s="29"/>
      <c r="Z30" s="29"/>
    </row>
    <row r="31" spans="1:26" x14ac:dyDescent="0.25">
      <c r="A31" s="23" t="s">
        <v>53</v>
      </c>
      <c r="B31" s="26">
        <v>479.04606999999999</v>
      </c>
      <c r="C31" s="26">
        <v>510.89774</v>
      </c>
      <c r="D31" s="26">
        <v>484.76979</v>
      </c>
      <c r="E31" s="26">
        <v>474.93265000000002</v>
      </c>
      <c r="F31" s="26">
        <v>194.40062</v>
      </c>
      <c r="G31" s="26">
        <v>503.08429999999998</v>
      </c>
      <c r="H31" s="26">
        <v>456.83841999999999</v>
      </c>
      <c r="I31" s="26">
        <v>478.34714000000002</v>
      </c>
      <c r="J31" s="26">
        <v>487.82062000000002</v>
      </c>
      <c r="K31" s="26">
        <v>475.87387999999999</v>
      </c>
      <c r="L31" s="26">
        <v>495.53345999999999</v>
      </c>
      <c r="M31" s="26">
        <v>473.00349999999997</v>
      </c>
      <c r="W31" s="29"/>
      <c r="X31" s="29"/>
      <c r="Y31" s="29"/>
      <c r="Z31" s="29"/>
    </row>
    <row r="32" spans="1:26" x14ac:dyDescent="0.25">
      <c r="A32" s="23" t="s">
        <v>54</v>
      </c>
      <c r="B32" s="26">
        <v>124.44255</v>
      </c>
      <c r="C32" s="26">
        <v>132.12848</v>
      </c>
      <c r="D32" s="26">
        <v>106.23674</v>
      </c>
      <c r="E32" s="26">
        <v>187.82488000000001</v>
      </c>
      <c r="F32" s="26">
        <v>127.46456999999999</v>
      </c>
      <c r="G32" s="26">
        <v>192.66466</v>
      </c>
      <c r="H32" s="26">
        <v>123.65125999999999</v>
      </c>
      <c r="I32" s="26">
        <v>173.39350999999999</v>
      </c>
      <c r="J32" s="26">
        <v>127.41323</v>
      </c>
      <c r="K32" s="26">
        <v>217.81627</v>
      </c>
      <c r="L32" s="26">
        <v>116.16436</v>
      </c>
      <c r="M32" s="26">
        <v>68.354979999999998</v>
      </c>
      <c r="W32" s="29"/>
      <c r="X32" s="29"/>
      <c r="Y32" s="29"/>
      <c r="Z32" s="29"/>
    </row>
    <row r="33" spans="1:26" x14ac:dyDescent="0.25">
      <c r="A33" s="23" t="s">
        <v>55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W33" s="29"/>
      <c r="X33" s="29"/>
      <c r="Y33" s="29"/>
      <c r="Z33" s="29"/>
    </row>
    <row r="34" spans="1:26" x14ac:dyDescent="0.25">
      <c r="A34" s="23" t="s">
        <v>56</v>
      </c>
      <c r="B34" s="26">
        <v>198.17684</v>
      </c>
      <c r="C34" s="26">
        <v>239.55349000000001</v>
      </c>
      <c r="D34" s="26">
        <v>443.21963</v>
      </c>
      <c r="E34" s="26">
        <v>226.63096999999999</v>
      </c>
      <c r="F34" s="26">
        <v>209.50491</v>
      </c>
      <c r="G34" s="26">
        <v>220.93530000000001</v>
      </c>
      <c r="H34" s="26">
        <v>238.47800000000001</v>
      </c>
      <c r="I34" s="26">
        <v>200.17804000000001</v>
      </c>
      <c r="J34" s="26">
        <v>206.03130999999999</v>
      </c>
      <c r="K34" s="26">
        <v>204.43530000000001</v>
      </c>
      <c r="L34" s="26">
        <v>202.72730999999999</v>
      </c>
      <c r="M34" s="26">
        <v>180.19448</v>
      </c>
      <c r="W34" s="29"/>
      <c r="X34" s="29"/>
      <c r="Y34" s="29"/>
      <c r="Z34" s="29"/>
    </row>
    <row r="35" spans="1:26" x14ac:dyDescent="0.25">
      <c r="A35" s="23" t="s">
        <v>57</v>
      </c>
      <c r="B35" s="26">
        <v>77.101789999999994</v>
      </c>
      <c r="C35" s="26">
        <v>80.665130000000005</v>
      </c>
      <c r="D35" s="26">
        <v>27.738109999999999</v>
      </c>
      <c r="E35" s="26">
        <v>111.40458</v>
      </c>
      <c r="F35" s="26">
        <v>43.976849999999999</v>
      </c>
      <c r="G35" s="26">
        <v>109.96171</v>
      </c>
      <c r="H35" s="26">
        <v>66.678690000000003</v>
      </c>
      <c r="I35" s="26">
        <v>63.864069999999998</v>
      </c>
      <c r="J35" s="26">
        <v>80.493849999999995</v>
      </c>
      <c r="K35" s="26">
        <v>83.481489999999994</v>
      </c>
      <c r="L35" s="26">
        <v>78.811880000000002</v>
      </c>
      <c r="M35" s="26">
        <v>83.164500000000004</v>
      </c>
      <c r="W35" s="29"/>
      <c r="X35" s="29"/>
      <c r="Y35" s="29"/>
      <c r="Z35" s="29"/>
    </row>
    <row r="36" spans="1:26" x14ac:dyDescent="0.25">
      <c r="A36" s="23" t="s">
        <v>58</v>
      </c>
      <c r="B36" s="26">
        <v>44.646169999999998</v>
      </c>
      <c r="C36" s="26">
        <v>22.858910000000002</v>
      </c>
      <c r="D36" s="26">
        <v>14.10566</v>
      </c>
      <c r="E36" s="26">
        <v>13.205175347894601</v>
      </c>
      <c r="F36" s="26">
        <v>27.936640000000001</v>
      </c>
      <c r="G36" s="26">
        <v>21.726859999999999</v>
      </c>
      <c r="H36" s="26">
        <v>-10.15652</v>
      </c>
      <c r="I36" s="26">
        <v>47.424759999999999</v>
      </c>
      <c r="J36" s="26">
        <v>15.27895</v>
      </c>
      <c r="K36" s="26">
        <v>32.042879999999997</v>
      </c>
      <c r="L36" s="26">
        <v>9.7055199999999999</v>
      </c>
      <c r="M36" s="26">
        <v>12.342420000000001</v>
      </c>
      <c r="W36" s="29"/>
      <c r="X36" s="29"/>
      <c r="Y36" s="29"/>
      <c r="Z36" s="29"/>
    </row>
    <row r="37" spans="1:26" x14ac:dyDescent="0.25">
      <c r="A37" s="23" t="s">
        <v>59</v>
      </c>
      <c r="B37" s="26">
        <v>54.667839999999998</v>
      </c>
      <c r="C37" s="26">
        <v>27.4924</v>
      </c>
      <c r="D37" s="26">
        <v>36.415880000000001</v>
      </c>
      <c r="E37" s="26">
        <v>45.012599999999999</v>
      </c>
      <c r="F37" s="26">
        <v>36.764000000000003</v>
      </c>
      <c r="G37" s="26">
        <v>36.414499999999997</v>
      </c>
      <c r="H37" s="26">
        <v>39.77469</v>
      </c>
      <c r="I37" s="26">
        <v>48.80124</v>
      </c>
      <c r="J37" s="26">
        <v>38.770679999999999</v>
      </c>
      <c r="K37" s="26">
        <v>27.521000000000001</v>
      </c>
      <c r="L37" s="26">
        <v>34.836350000000003</v>
      </c>
      <c r="M37" s="26">
        <v>27.2012</v>
      </c>
      <c r="W37" s="29"/>
      <c r="X37" s="29"/>
      <c r="Y37" s="29"/>
      <c r="Z37" s="29"/>
    </row>
    <row r="38" spans="1:26" x14ac:dyDescent="0.25">
      <c r="A38" s="23" t="s">
        <v>60</v>
      </c>
      <c r="B38" s="26">
        <v>8.3018000000000001</v>
      </c>
      <c r="C38" s="26">
        <v>11.90457</v>
      </c>
      <c r="D38" s="26">
        <v>22.63644</v>
      </c>
      <c r="E38" s="26">
        <v>11.286429999999999</v>
      </c>
      <c r="F38" s="26">
        <v>5.6093200000000003</v>
      </c>
      <c r="G38" s="26">
        <v>11.99410034375</v>
      </c>
      <c r="H38" s="26">
        <v>5.2607900000000001</v>
      </c>
      <c r="I38" s="26">
        <v>8.5816599999999994</v>
      </c>
      <c r="J38" s="26">
        <v>22.892040000000001</v>
      </c>
      <c r="K38" s="26">
        <v>8.1492000000000004</v>
      </c>
      <c r="L38" s="26">
        <v>9.1461600000000001</v>
      </c>
      <c r="M38" s="26">
        <v>9.93018</v>
      </c>
      <c r="W38" s="29"/>
      <c r="X38" s="29"/>
      <c r="Y38" s="29"/>
      <c r="Z38" s="29"/>
    </row>
    <row r="39" spans="1:26" x14ac:dyDescent="0.25">
      <c r="A39" s="23" t="s">
        <v>61</v>
      </c>
      <c r="B39" s="26">
        <v>6.1806000000000001</v>
      </c>
      <c r="C39" s="26">
        <v>3.4136000000000002</v>
      </c>
      <c r="D39" s="26">
        <v>11.23559</v>
      </c>
      <c r="E39" s="26">
        <v>3.0917599999999998</v>
      </c>
      <c r="F39" s="26">
        <v>7.2667200000000003</v>
      </c>
      <c r="G39" s="26">
        <v>6.1478000000000002</v>
      </c>
      <c r="H39" s="26">
        <v>2.1805099999999999</v>
      </c>
      <c r="I39" s="26">
        <v>0</v>
      </c>
      <c r="J39" s="26">
        <v>6.1698700000000004</v>
      </c>
      <c r="K39" s="26">
        <v>6.5629999999999997</v>
      </c>
      <c r="L39" s="26">
        <v>3.7965800000000001</v>
      </c>
      <c r="M39" s="26">
        <v>1.9001600000000001</v>
      </c>
      <c r="W39" s="29"/>
      <c r="X39" s="29"/>
      <c r="Y39" s="29"/>
      <c r="Z39" s="29"/>
    </row>
    <row r="40" spans="1:26" x14ac:dyDescent="0.25">
      <c r="A40" s="23" t="s">
        <v>62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W40" s="29"/>
      <c r="X40" s="29"/>
      <c r="Y40" s="29"/>
      <c r="Z40" s="29"/>
    </row>
    <row r="41" spans="1:26" x14ac:dyDescent="0.25">
      <c r="A41" s="23" t="s">
        <v>63</v>
      </c>
      <c r="B41" s="26">
        <v>21.12828</v>
      </c>
      <c r="C41" s="26">
        <v>19.61458</v>
      </c>
      <c r="D41" s="26">
        <v>52.874020000000002</v>
      </c>
      <c r="E41" s="26">
        <v>38.672809999999998</v>
      </c>
      <c r="F41" s="26">
        <v>31.139330000000001</v>
      </c>
      <c r="G41" s="26">
        <v>46.603110000000001</v>
      </c>
      <c r="H41" s="26">
        <v>36.286119999999997</v>
      </c>
      <c r="I41" s="26">
        <v>29.600919999999999</v>
      </c>
      <c r="J41" s="26">
        <v>36.486829999999998</v>
      </c>
      <c r="K41" s="26">
        <v>22.337319999999998</v>
      </c>
      <c r="L41" s="26">
        <v>29.957319999999999</v>
      </c>
      <c r="M41" s="26">
        <v>24.25469</v>
      </c>
      <c r="W41" s="29"/>
      <c r="X41" s="29"/>
      <c r="Y41" s="29"/>
      <c r="Z41" s="29"/>
    </row>
    <row r="42" spans="1:26" x14ac:dyDescent="0.25">
      <c r="A42" s="23" t="s">
        <v>64</v>
      </c>
      <c r="B42" s="26">
        <v>0</v>
      </c>
      <c r="C42" s="26">
        <v>0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W42" s="29"/>
      <c r="X42" s="29"/>
      <c r="Y42" s="29"/>
      <c r="Z42" s="29"/>
    </row>
    <row r="43" spans="1:26" x14ac:dyDescent="0.25">
      <c r="A43" s="23" t="s">
        <v>65</v>
      </c>
      <c r="B43" s="26">
        <v>0.18475</v>
      </c>
      <c r="C43" s="26">
        <v>0.29951</v>
      </c>
      <c r="D43" s="26">
        <v>1.08992</v>
      </c>
      <c r="E43" s="26">
        <v>1.2001599999999999</v>
      </c>
      <c r="F43" s="26">
        <v>7.7827299999999999</v>
      </c>
      <c r="G43" s="26">
        <v>1.3207899999999999</v>
      </c>
      <c r="H43" s="26">
        <v>57.002029999999998</v>
      </c>
      <c r="I43" s="26">
        <v>9.7521299999999993</v>
      </c>
      <c r="J43" s="26">
        <v>0</v>
      </c>
      <c r="K43" s="26">
        <v>0.43281999999999998</v>
      </c>
      <c r="L43" s="26">
        <v>12.476509999999999</v>
      </c>
      <c r="M43" s="26">
        <v>0.57516</v>
      </c>
      <c r="W43" s="29"/>
      <c r="X43" s="29"/>
      <c r="Y43" s="29"/>
      <c r="Z43" s="29"/>
    </row>
    <row r="44" spans="1:26" x14ac:dyDescent="0.25">
      <c r="A44" s="23" t="s">
        <v>66</v>
      </c>
      <c r="B44" s="26">
        <v>4.7646300000000004</v>
      </c>
      <c r="C44" s="26">
        <v>2.8214999999999999</v>
      </c>
      <c r="D44" s="26">
        <v>2.8214999999999999</v>
      </c>
      <c r="E44" s="26">
        <v>7.9420000000000002</v>
      </c>
      <c r="F44" s="26">
        <v>6.0880000000000001</v>
      </c>
      <c r="G44" s="26">
        <v>5.1204999999999998</v>
      </c>
      <c r="H44" s="26">
        <v>4.8331200000000001</v>
      </c>
      <c r="I44" s="26">
        <v>15.4925</v>
      </c>
      <c r="J44" s="26">
        <v>14.894500000000001</v>
      </c>
      <c r="K44" s="26">
        <v>14.57328</v>
      </c>
      <c r="L44" s="26">
        <v>9.7739999999999991</v>
      </c>
      <c r="M44" s="26">
        <v>8.8335000000000008</v>
      </c>
      <c r="W44" s="29"/>
      <c r="X44" s="29"/>
      <c r="Y44" s="29"/>
      <c r="Z44" s="29"/>
    </row>
    <row r="45" spans="1:26" x14ac:dyDescent="0.25">
      <c r="A45" s="23" t="s">
        <v>67</v>
      </c>
      <c r="B45" s="26">
        <v>28.0398</v>
      </c>
      <c r="C45" s="26">
        <v>24.673819999999999</v>
      </c>
      <c r="D45" s="26">
        <v>26.528770000000002</v>
      </c>
      <c r="E45" s="26">
        <v>34.613939999999999</v>
      </c>
      <c r="F45" s="26">
        <v>37.729500000000002</v>
      </c>
      <c r="G45" s="26">
        <v>28.927669999999999</v>
      </c>
      <c r="H45" s="26">
        <v>31.977219999999999</v>
      </c>
      <c r="I45" s="26">
        <v>35.527740000000001</v>
      </c>
      <c r="J45" s="26">
        <v>32.589910000000003</v>
      </c>
      <c r="K45" s="26">
        <v>25.433949999999999</v>
      </c>
      <c r="L45" s="26">
        <v>21.826709999999999</v>
      </c>
      <c r="M45" s="26">
        <v>24.518350000000002</v>
      </c>
      <c r="W45" s="29"/>
      <c r="X45" s="29"/>
      <c r="Y45" s="29"/>
      <c r="Z45" s="29"/>
    </row>
    <row r="46" spans="1:26" x14ac:dyDescent="0.25">
      <c r="A46" s="23" t="s">
        <v>68</v>
      </c>
      <c r="B46" s="26">
        <v>16.1235</v>
      </c>
      <c r="C46" s="26">
        <v>0.51824999999999999</v>
      </c>
      <c r="D46" s="26">
        <v>0.65100000000000002</v>
      </c>
      <c r="E46" s="26">
        <v>0.39200000000000002</v>
      </c>
      <c r="F46" s="26">
        <v>0.39200000000000002</v>
      </c>
      <c r="G46" s="26">
        <v>0.39200000000000002</v>
      </c>
      <c r="H46" s="26">
        <v>1.8149999999999999</v>
      </c>
      <c r="I46" s="26">
        <v>29.076779999999999</v>
      </c>
      <c r="J46" s="26">
        <v>18.632999999999999</v>
      </c>
      <c r="K46" s="26">
        <v>37.225999999999999</v>
      </c>
      <c r="L46" s="26">
        <v>19.346</v>
      </c>
      <c r="M46" s="26">
        <v>18.821999999999999</v>
      </c>
      <c r="W46" s="29"/>
      <c r="X46" s="29"/>
      <c r="Y46" s="29"/>
      <c r="Z46" s="29"/>
    </row>
    <row r="47" spans="1:26" x14ac:dyDescent="0.25">
      <c r="A47" s="23" t="s">
        <v>69</v>
      </c>
      <c r="B47" s="26">
        <v>4.1776200000000001</v>
      </c>
      <c r="C47" s="26">
        <v>4.8170999999999999</v>
      </c>
      <c r="D47" s="26">
        <v>6.70695</v>
      </c>
      <c r="E47" s="26">
        <v>6.6060299999999996</v>
      </c>
      <c r="F47" s="26">
        <v>5.7696899999999998</v>
      </c>
      <c r="G47" s="26">
        <v>4.5281900000000004</v>
      </c>
      <c r="H47" s="26">
        <v>3.0612900000000001</v>
      </c>
      <c r="I47" s="26">
        <v>10.43684</v>
      </c>
      <c r="J47" s="26">
        <v>7.5474600000000001</v>
      </c>
      <c r="K47" s="26">
        <v>3.5304899999999999</v>
      </c>
      <c r="L47" s="26">
        <v>4.27942</v>
      </c>
      <c r="M47" s="26">
        <v>3.38219</v>
      </c>
      <c r="W47" s="29"/>
      <c r="X47" s="29"/>
      <c r="Y47" s="29"/>
      <c r="Z47" s="29"/>
    </row>
    <row r="48" spans="1:26" x14ac:dyDescent="0.25">
      <c r="A48" s="23" t="s">
        <v>70</v>
      </c>
      <c r="B48" s="26">
        <v>1.4456</v>
      </c>
      <c r="C48" s="26">
        <v>0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1.0625</v>
      </c>
      <c r="J48" s="26">
        <v>0</v>
      </c>
      <c r="K48" s="26">
        <v>0</v>
      </c>
      <c r="L48" s="26">
        <v>0</v>
      </c>
      <c r="M48" s="26">
        <v>0</v>
      </c>
      <c r="W48" s="29"/>
      <c r="X48" s="29"/>
      <c r="Y48" s="29"/>
      <c r="Z48" s="29"/>
    </row>
    <row r="49" spans="1:26" x14ac:dyDescent="0.25">
      <c r="A49" s="23" t="s">
        <v>71</v>
      </c>
      <c r="B49" s="26">
        <v>0</v>
      </c>
      <c r="C49" s="26">
        <v>0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W49" s="29"/>
      <c r="X49" s="29"/>
      <c r="Y49" s="29"/>
      <c r="Z49" s="29"/>
    </row>
    <row r="50" spans="1:26" x14ac:dyDescent="0.25">
      <c r="A50" s="23" t="s">
        <v>72</v>
      </c>
      <c r="B50" s="26">
        <v>0.24851000000000001</v>
      </c>
      <c r="C50" s="26">
        <v>0</v>
      </c>
      <c r="D50" s="26">
        <v>1.8099400000000001</v>
      </c>
      <c r="E50" s="26">
        <v>0</v>
      </c>
      <c r="F50" s="26">
        <v>0</v>
      </c>
      <c r="G50" s="26">
        <v>6.3E-2</v>
      </c>
      <c r="H50" s="26">
        <v>1.1950000000000001</v>
      </c>
      <c r="I50" s="26">
        <v>0</v>
      </c>
      <c r="J50" s="26">
        <v>2.5209999999999999</v>
      </c>
      <c r="K50" s="26">
        <v>6.3E-2</v>
      </c>
      <c r="L50" s="26">
        <v>2.4940000000000002</v>
      </c>
      <c r="M50" s="26">
        <v>4.577</v>
      </c>
      <c r="O50" s="24" t="s">
        <v>73</v>
      </c>
      <c r="P50" s="25" t="s">
        <v>18</v>
      </c>
      <c r="Q50" s="25" t="s">
        <v>19</v>
      </c>
      <c r="R50" s="25" t="s">
        <v>20</v>
      </c>
      <c r="V50" s="24" t="s">
        <v>74</v>
      </c>
      <c r="W50" s="25" t="s">
        <v>18</v>
      </c>
      <c r="X50" s="25" t="s">
        <v>19</v>
      </c>
      <c r="Y50" s="25" t="s">
        <v>20</v>
      </c>
      <c r="Z50" s="29"/>
    </row>
    <row r="51" spans="1:26" x14ac:dyDescent="0.25">
      <c r="A51" s="23" t="s">
        <v>75</v>
      </c>
      <c r="B51" s="26">
        <v>1371674.5499999996</v>
      </c>
      <c r="C51" s="26">
        <v>1364803.34</v>
      </c>
      <c r="D51" s="26">
        <v>1523361.97</v>
      </c>
      <c r="E51" s="26">
        <v>1424978.245347895</v>
      </c>
      <c r="F51" s="26">
        <v>980693.20000000007</v>
      </c>
      <c r="G51" s="26">
        <v>1473889.9003437501</v>
      </c>
      <c r="H51" s="26">
        <v>1339256.3200000001</v>
      </c>
      <c r="I51" s="26">
        <v>1438702.5500000005</v>
      </c>
      <c r="J51" s="26">
        <v>1396490.93</v>
      </c>
      <c r="K51" s="26">
        <v>1332422.4100000008</v>
      </c>
      <c r="L51" s="26">
        <v>1356914.8299999998</v>
      </c>
      <c r="M51" s="26">
        <v>1228031.6399999999</v>
      </c>
      <c r="O51" t="s">
        <v>76</v>
      </c>
      <c r="P51" s="33">
        <f>AVERAGE(B51:M51)</f>
        <v>1352601.6571409705</v>
      </c>
      <c r="Q51" s="34">
        <f>AVERAGE(H51:M51)</f>
        <v>1348636.446666667</v>
      </c>
      <c r="R51" s="34">
        <f>AVERAGE(K51:M51)</f>
        <v>1305789.6266666669</v>
      </c>
      <c r="S51" s="28"/>
      <c r="V51" t="s">
        <v>76</v>
      </c>
      <c r="W51" s="33">
        <v>1352.60165714097</v>
      </c>
      <c r="X51" s="34">
        <v>1348.6364466666701</v>
      </c>
      <c r="Y51" s="34">
        <v>1305.7896266666701</v>
      </c>
      <c r="Z51" s="28"/>
    </row>
    <row r="52" spans="1:26" x14ac:dyDescent="0.25">
      <c r="B52" s="26">
        <f>B51/1000</f>
        <v>1371.6745499999995</v>
      </c>
      <c r="C52" s="26">
        <f t="shared" ref="C52:M52" si="4">C51/1000</f>
        <v>1364.8033400000002</v>
      </c>
      <c r="D52" s="26">
        <f t="shared" si="4"/>
        <v>1523.3619699999999</v>
      </c>
      <c r="E52" s="26">
        <f t="shared" si="4"/>
        <v>1424.9782453478949</v>
      </c>
      <c r="F52" s="26">
        <f t="shared" si="4"/>
        <v>980.69320000000005</v>
      </c>
      <c r="G52" s="26">
        <f t="shared" si="4"/>
        <v>1473.8899003437502</v>
      </c>
      <c r="H52" s="26">
        <f t="shared" si="4"/>
        <v>1339.25632</v>
      </c>
      <c r="I52" s="26">
        <f t="shared" si="4"/>
        <v>1438.7025500000004</v>
      </c>
      <c r="J52" s="26">
        <f t="shared" si="4"/>
        <v>1396.4909299999999</v>
      </c>
      <c r="K52" s="26">
        <f t="shared" si="4"/>
        <v>1332.4224100000008</v>
      </c>
      <c r="L52" s="26">
        <f t="shared" si="4"/>
        <v>1356.9148299999999</v>
      </c>
      <c r="M52" s="26">
        <f t="shared" si="4"/>
        <v>1228.0316399999999</v>
      </c>
      <c r="O52" t="s">
        <v>77</v>
      </c>
      <c r="P52" s="34">
        <v>1386.64</v>
      </c>
      <c r="Q52" s="34">
        <v>1386.64</v>
      </c>
      <c r="R52" s="34">
        <v>1386.64</v>
      </c>
      <c r="S52" s="28"/>
      <c r="V52" t="s">
        <v>77</v>
      </c>
      <c r="W52" s="34">
        <v>1386.64</v>
      </c>
      <c r="X52" s="34">
        <v>1386.64</v>
      </c>
      <c r="Y52" s="34">
        <v>1386.64</v>
      </c>
      <c r="Z52" s="28"/>
    </row>
    <row r="53" spans="1:26" x14ac:dyDescent="0.25">
      <c r="A53" s="23" t="s">
        <v>78</v>
      </c>
      <c r="B53" s="26">
        <v>56.13897</v>
      </c>
      <c r="C53" s="26">
        <v>47.485210000000002</v>
      </c>
      <c r="D53" s="26">
        <v>50.412950000000002</v>
      </c>
      <c r="E53" s="26">
        <v>44.44943</v>
      </c>
      <c r="F53" s="26">
        <v>40.461410000000001</v>
      </c>
      <c r="G53" s="26">
        <v>45.767949999999999</v>
      </c>
      <c r="H53" s="26">
        <v>48.080249999999999</v>
      </c>
      <c r="I53" s="26">
        <v>52.016249999999999</v>
      </c>
      <c r="J53" s="26">
        <v>60.898180000000004</v>
      </c>
      <c r="K53" s="26">
        <v>55.347859999999997</v>
      </c>
      <c r="L53" s="26">
        <v>44.307510000000001</v>
      </c>
      <c r="M53" s="26">
        <v>43.882480000000001</v>
      </c>
      <c r="O53" t="s">
        <v>79</v>
      </c>
      <c r="P53" s="34">
        <f>P52-P51</f>
        <v>-1351215.0171409706</v>
      </c>
      <c r="Q53" s="34">
        <f>Q52-Q51</f>
        <v>-1347249.8066666671</v>
      </c>
      <c r="R53" s="34">
        <f>R52-R51</f>
        <v>-1304402.986666667</v>
      </c>
      <c r="V53" t="s">
        <v>79</v>
      </c>
      <c r="W53" s="34">
        <v>34.038342859029903</v>
      </c>
      <c r="X53" s="34">
        <v>38.003553333333201</v>
      </c>
      <c r="Y53" s="34">
        <v>80.850373333333195</v>
      </c>
      <c r="Z53" s="29"/>
    </row>
    <row r="54" spans="1:26" x14ac:dyDescent="0.25">
      <c r="A54" s="23" t="s">
        <v>80</v>
      </c>
      <c r="B54" s="26">
        <v>0</v>
      </c>
      <c r="C54" s="26">
        <v>0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O54" t="s">
        <v>81</v>
      </c>
      <c r="P54" s="35">
        <f>P53/P52</f>
        <v>-974.45264606600881</v>
      </c>
      <c r="Q54" s="35">
        <f>Q53/Q52</f>
        <v>-971.59306428969808</v>
      </c>
      <c r="R54" s="35">
        <f>R53/R52</f>
        <v>-940.69332102540454</v>
      </c>
      <c r="V54" t="s">
        <v>81</v>
      </c>
      <c r="W54" s="35">
        <v>2.4547353933991399E-2</v>
      </c>
      <c r="X54" s="35">
        <v>2.7406935710302002E-2</v>
      </c>
      <c r="Y54" s="35">
        <v>5.8306678974595599E-2</v>
      </c>
      <c r="Z54" s="29"/>
    </row>
    <row r="55" spans="1:26" x14ac:dyDescent="0.25">
      <c r="A55" s="23" t="s">
        <v>82</v>
      </c>
      <c r="B55" s="26">
        <v>246.85923</v>
      </c>
      <c r="C55" s="26">
        <v>235.65905000000001</v>
      </c>
      <c r="D55" s="26">
        <v>234.10908000000001</v>
      </c>
      <c r="E55" s="26">
        <v>217.71283</v>
      </c>
      <c r="F55" s="26">
        <v>198.40691000000001</v>
      </c>
      <c r="G55" s="26">
        <v>238.23746</v>
      </c>
      <c r="H55" s="26">
        <v>232.30045000000001</v>
      </c>
      <c r="I55" s="26">
        <v>235.14646999999999</v>
      </c>
      <c r="J55" s="26">
        <v>238.04949999999999</v>
      </c>
      <c r="K55" s="26">
        <v>117.59466999999999</v>
      </c>
      <c r="L55" s="26">
        <v>261.73174</v>
      </c>
      <c r="M55" s="26">
        <v>243.09485000000001</v>
      </c>
      <c r="W55" s="29"/>
      <c r="X55" s="29"/>
      <c r="Y55" s="29"/>
      <c r="Z55" s="29"/>
    </row>
    <row r="56" spans="1:26" x14ac:dyDescent="0.25">
      <c r="A56" s="23" t="s">
        <v>83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W56" s="29"/>
      <c r="X56" s="29"/>
      <c r="Y56" s="29"/>
      <c r="Z56" s="29"/>
    </row>
    <row r="57" spans="1:26" x14ac:dyDescent="0.25">
      <c r="A57" s="23" t="s">
        <v>84</v>
      </c>
      <c r="B57" s="26">
        <v>302.9982</v>
      </c>
      <c r="C57" s="26">
        <v>283.14425999999997</v>
      </c>
      <c r="D57" s="26">
        <v>284.52202999999997</v>
      </c>
      <c r="E57" s="26">
        <v>262.16226</v>
      </c>
      <c r="F57" s="26">
        <v>238.86832000000001</v>
      </c>
      <c r="G57" s="26">
        <v>284.00540999999998</v>
      </c>
      <c r="H57" s="26">
        <v>280.38069999999999</v>
      </c>
      <c r="I57" s="26">
        <v>287.16271999999998</v>
      </c>
      <c r="J57" s="26">
        <v>298.94767999999999</v>
      </c>
      <c r="K57" s="26">
        <v>172.94253</v>
      </c>
      <c r="L57" s="26">
        <v>306.03924999999998</v>
      </c>
      <c r="M57" s="26">
        <v>286.97732999999999</v>
      </c>
      <c r="W57" s="29"/>
      <c r="X57" s="29"/>
      <c r="Y57" s="29"/>
      <c r="Z57" s="29"/>
    </row>
    <row r="58" spans="1:26" x14ac:dyDescent="0.25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W58" s="29"/>
      <c r="X58" s="29"/>
      <c r="Y58" s="29"/>
      <c r="Z58" s="29"/>
    </row>
    <row r="59" spans="1:26" x14ac:dyDescent="0.25">
      <c r="A59" s="23" t="s">
        <v>85</v>
      </c>
      <c r="B59" s="26">
        <v>489.27512999999999</v>
      </c>
      <c r="C59" s="26">
        <v>475.1635</v>
      </c>
      <c r="D59" s="26">
        <v>516.43254999999999</v>
      </c>
      <c r="E59" s="26">
        <v>518.68991000000005</v>
      </c>
      <c r="F59" s="26">
        <v>429.11415</v>
      </c>
      <c r="G59" s="26">
        <v>474.98070999999999</v>
      </c>
      <c r="H59" s="26">
        <v>444.20954999999998</v>
      </c>
      <c r="I59" s="26">
        <v>464.42827</v>
      </c>
      <c r="J59" s="26">
        <v>521.81204000000002</v>
      </c>
      <c r="K59" s="26">
        <v>473.40564000000001</v>
      </c>
      <c r="L59" s="26">
        <v>449.37630000000001</v>
      </c>
      <c r="M59" s="26">
        <v>463.13720000000001</v>
      </c>
      <c r="W59" s="29"/>
      <c r="X59" s="29"/>
      <c r="Y59" s="29"/>
      <c r="Z59" s="29"/>
    </row>
    <row r="60" spans="1:26" x14ac:dyDescent="0.25">
      <c r="A60" s="23" t="s">
        <v>86</v>
      </c>
      <c r="B60" s="26">
        <v>0</v>
      </c>
      <c r="C60" s="26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W60" s="29"/>
      <c r="X60" s="29"/>
      <c r="Y60" s="29"/>
      <c r="Z60" s="29"/>
    </row>
    <row r="61" spans="1:26" x14ac:dyDescent="0.25">
      <c r="A61" s="23" t="s">
        <v>87</v>
      </c>
      <c r="B61" s="26">
        <v>25.78471</v>
      </c>
      <c r="C61" s="26">
        <v>23.523820000000001</v>
      </c>
      <c r="D61" s="26">
        <v>21.988969999999998</v>
      </c>
      <c r="E61" s="26">
        <v>22.522449999999999</v>
      </c>
      <c r="F61" s="26">
        <v>12.73836</v>
      </c>
      <c r="G61" s="26">
        <v>17.38259</v>
      </c>
      <c r="H61" s="26">
        <v>17.789400000000001</v>
      </c>
      <c r="I61" s="26">
        <v>7.2201199999999996</v>
      </c>
      <c r="J61" s="26">
        <v>28.542359999999999</v>
      </c>
      <c r="K61" s="26">
        <v>0.15569</v>
      </c>
      <c r="L61" s="26">
        <v>17.82225</v>
      </c>
      <c r="M61" s="26">
        <v>18.092559999999999</v>
      </c>
      <c r="W61" s="29"/>
      <c r="X61" s="29"/>
      <c r="Y61" s="29"/>
      <c r="Z61" s="29"/>
    </row>
    <row r="62" spans="1:26" x14ac:dyDescent="0.25">
      <c r="A62" s="23" t="s">
        <v>88</v>
      </c>
      <c r="B62" s="26">
        <v>0.97143000000000002</v>
      </c>
      <c r="C62" s="26">
        <v>0.69264000000000003</v>
      </c>
      <c r="D62" s="26">
        <v>0.70282999999999995</v>
      </c>
      <c r="E62" s="26">
        <v>1.9571400000000001</v>
      </c>
      <c r="F62" s="26">
        <v>1.7587600000000001</v>
      </c>
      <c r="G62" s="26">
        <v>1.4852300000000001</v>
      </c>
      <c r="H62" s="26">
        <v>3.5655700000000001</v>
      </c>
      <c r="I62" s="26">
        <v>4.1360400000000004</v>
      </c>
      <c r="J62" s="26">
        <v>4.5698999999999996</v>
      </c>
      <c r="K62" s="26">
        <v>1.3743000000000001</v>
      </c>
      <c r="L62" s="26">
        <v>3.64202</v>
      </c>
      <c r="M62" s="26">
        <v>3.6467499999999999</v>
      </c>
      <c r="W62" s="29"/>
      <c r="X62" s="29"/>
      <c r="Y62" s="29"/>
      <c r="Z62" s="29"/>
    </row>
    <row r="63" spans="1:26" x14ac:dyDescent="0.25">
      <c r="A63" s="23" t="s">
        <v>89</v>
      </c>
      <c r="B63" s="26">
        <v>0</v>
      </c>
      <c r="C63" s="26">
        <v>0</v>
      </c>
      <c r="D63" s="26">
        <v>0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W63" s="29"/>
      <c r="X63" s="29"/>
      <c r="Y63" s="29"/>
      <c r="Z63" s="29"/>
    </row>
    <row r="64" spans="1:26" x14ac:dyDescent="0.25">
      <c r="A64" s="23" t="s">
        <v>90</v>
      </c>
      <c r="B64" s="26">
        <v>0.10826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W64" s="29"/>
      <c r="X64" s="29"/>
      <c r="Y64" s="29"/>
      <c r="Z64" s="29"/>
    </row>
    <row r="65" spans="1:26" x14ac:dyDescent="0.25">
      <c r="A65" s="23" t="s">
        <v>91</v>
      </c>
      <c r="B65" s="26">
        <v>516.13953000000004</v>
      </c>
      <c r="C65" s="26">
        <v>499.37995999999998</v>
      </c>
      <c r="D65" s="26">
        <v>539.12435000000005</v>
      </c>
      <c r="E65" s="26">
        <v>543.16949999999997</v>
      </c>
      <c r="F65" s="26">
        <v>443.61126999999999</v>
      </c>
      <c r="G65" s="26">
        <v>493.84852999999998</v>
      </c>
      <c r="H65" s="26">
        <v>465.56452000000002</v>
      </c>
      <c r="I65" s="26">
        <v>475.78442999999999</v>
      </c>
      <c r="J65" s="26">
        <v>554.92430000000002</v>
      </c>
      <c r="K65" s="26">
        <v>474.93563</v>
      </c>
      <c r="L65" s="26">
        <v>470.84057000000001</v>
      </c>
      <c r="M65" s="26">
        <v>484.87651</v>
      </c>
      <c r="O65" s="24" t="s">
        <v>92</v>
      </c>
      <c r="P65" s="25" t="s">
        <v>18</v>
      </c>
      <c r="Q65" s="25" t="s">
        <v>19</v>
      </c>
      <c r="R65" s="25" t="s">
        <v>20</v>
      </c>
      <c r="S65" s="25" t="s">
        <v>27</v>
      </c>
      <c r="V65" s="24" t="s">
        <v>93</v>
      </c>
      <c r="W65" s="25" t="s">
        <v>18</v>
      </c>
      <c r="X65" s="25" t="s">
        <v>19</v>
      </c>
      <c r="Y65" s="25" t="s">
        <v>20</v>
      </c>
      <c r="Z65" s="25" t="s">
        <v>27</v>
      </c>
    </row>
    <row r="66" spans="1:26" x14ac:dyDescent="0.25">
      <c r="A66" s="23" t="s">
        <v>98</v>
      </c>
      <c r="B66" s="36">
        <f>B64/B16</f>
        <v>2.1351019545499548E-8</v>
      </c>
      <c r="C66" s="36">
        <f t="shared" ref="C66:M66" si="5">C64/C16</f>
        <v>0</v>
      </c>
      <c r="D66" s="36">
        <f t="shared" si="5"/>
        <v>0</v>
      </c>
      <c r="E66" s="36">
        <f t="shared" si="5"/>
        <v>0</v>
      </c>
      <c r="F66" s="36">
        <f t="shared" si="5"/>
        <v>0</v>
      </c>
      <c r="G66" s="36">
        <f t="shared" si="5"/>
        <v>0</v>
      </c>
      <c r="H66" s="36">
        <f t="shared" si="5"/>
        <v>0</v>
      </c>
      <c r="I66" s="36">
        <f t="shared" si="5"/>
        <v>0</v>
      </c>
      <c r="J66" s="36">
        <f t="shared" si="5"/>
        <v>0</v>
      </c>
      <c r="K66" s="36">
        <f t="shared" si="5"/>
        <v>0</v>
      </c>
      <c r="L66" s="36">
        <f t="shared" si="5"/>
        <v>0</v>
      </c>
      <c r="M66" s="36">
        <f t="shared" si="5"/>
        <v>0</v>
      </c>
      <c r="O66" t="s">
        <v>94</v>
      </c>
      <c r="P66" s="32">
        <f>AVERAGE(B66:M66)</f>
        <v>1.779251628791629E-9</v>
      </c>
      <c r="Q66" s="32">
        <f>AVERAGE(H66:M66)</f>
        <v>0</v>
      </c>
      <c r="R66" s="32">
        <f>AVERAGE(K66:M66)</f>
        <v>0</v>
      </c>
      <c r="S66" s="32">
        <f>277.65/(2614.66+226.21)</f>
        <v>9.773414482183275E-2</v>
      </c>
      <c r="V66" t="s">
        <v>94</v>
      </c>
      <c r="W66" s="32">
        <v>0.10166670924766801</v>
      </c>
      <c r="X66" s="32">
        <v>0.10137019640280701</v>
      </c>
      <c r="Y66" s="32">
        <v>0.101899349555844</v>
      </c>
      <c r="Z66" s="32">
        <v>9.7734144821832805E-2</v>
      </c>
    </row>
    <row r="67" spans="1:26" x14ac:dyDescent="0.25">
      <c r="A67" s="23" t="s">
        <v>99</v>
      </c>
      <c r="B67" s="36">
        <f>SUM(B59:B63)/B16</f>
        <v>1.0177160291759612E-4</v>
      </c>
      <c r="C67" s="36">
        <f t="shared" ref="C67:M67" si="6">SUM(C59:C63)/C16</f>
        <v>1.0182974223969742E-4</v>
      </c>
      <c r="D67" s="36">
        <f t="shared" si="6"/>
        <v>1.0253143529637403E-4</v>
      </c>
      <c r="E67" s="36">
        <f t="shared" si="6"/>
        <v>1.0283810834338761E-4</v>
      </c>
      <c r="F67" s="36">
        <f t="shared" si="6"/>
        <v>1.0181639412997039E-4</v>
      </c>
      <c r="G67" s="36">
        <f t="shared" si="6"/>
        <v>1.0097069860860082E-4</v>
      </c>
      <c r="H67" s="36">
        <f t="shared" si="6"/>
        <v>1.005676011320636E-4</v>
      </c>
      <c r="I67" s="36">
        <f t="shared" si="6"/>
        <v>1.0140982471605663E-4</v>
      </c>
      <c r="J67" s="36">
        <f t="shared" si="6"/>
        <v>1.0054570390119019E-4</v>
      </c>
      <c r="K67" s="36">
        <f t="shared" si="6"/>
        <v>1.0414964635361098E-4</v>
      </c>
      <c r="L67" s="36">
        <f t="shared" si="6"/>
        <v>1.009098606165699E-4</v>
      </c>
      <c r="M67" s="36">
        <f t="shared" si="6"/>
        <v>1.0063854169735023E-4</v>
      </c>
    </row>
    <row r="68" spans="1:26" x14ac:dyDescent="0.25"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</row>
    <row r="69" spans="1:26" x14ac:dyDescent="0.25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</row>
    <row r="70" spans="1:26" x14ac:dyDescent="0.25"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</row>
    <row r="71" spans="1:26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</row>
    <row r="72" spans="1:26" x14ac:dyDescent="0.25"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0B8C-86F2-4263-9A33-E9AE0ED2BF7E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2120-6115-4024-8C6F-24FD75AA7E9D}">
  <sheetPr codeName="Sheet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SE_LOS_Analysis</vt:lpstr>
      <vt:lpstr>LOS_Data</vt:lpstr>
      <vt:lpstr>LOS_Paste</vt:lpstr>
      <vt:lpstr>KeyWords</vt:lpstr>
      <vt:lpstr>Diff_Sidefile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Rangel</dc:creator>
  <cp:lastModifiedBy>Martin Rangel</cp:lastModifiedBy>
  <dcterms:created xsi:type="dcterms:W3CDTF">2015-06-05T18:17:20Z</dcterms:created>
  <dcterms:modified xsi:type="dcterms:W3CDTF">2026-05-28T20:27:06Z</dcterms:modified>
</cp:coreProperties>
</file>