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carRoman\Desktop\"/>
    </mc:Choice>
  </mc:AlternateContent>
  <xr:revisionPtr revIDLastSave="0" documentId="13_ncr:1_{3032406A-3FB0-47DB-B9A7-275265F1D374}" xr6:coauthVersionLast="47" xr6:coauthVersionMax="47" xr10:uidLastSave="{00000000-0000-0000-0000-000000000000}"/>
  <bookViews>
    <workbookView xWindow="28680" yWindow="-135" windowWidth="29040" windowHeight="15720" tabRatio="500" xr2:uid="{00000000-000D-0000-FFFF-FFFF00000000}"/>
  </bookViews>
  <sheets>
    <sheet name="SE" sheetId="1" r:id="rId1"/>
    <sheet name="Sheet2" sheetId="4" r:id="rId2"/>
    <sheet name="PowerBI_Long" sheetId="2" r:id="rId3"/>
  </sheets>
  <definedNames>
    <definedName name="_bdm.5fdbadbb74a04f4eac16ae716b045033.edm" hidden="1">#REF!</definedName>
    <definedName name="_xlnm._FilterDatabase" localSheetId="2" hidden="1">PowerBI_Long!$A$1:$D$661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45476.5633333333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4" l="1"/>
  <c r="C5" i="4"/>
  <c r="D5" i="4"/>
  <c r="E5" i="4"/>
  <c r="F5" i="4"/>
  <c r="G5" i="4"/>
  <c r="H5" i="4"/>
  <c r="I5" i="4"/>
  <c r="J5" i="4"/>
  <c r="K5" i="4"/>
  <c r="L5" i="4"/>
  <c r="B6" i="4"/>
  <c r="C6" i="4"/>
  <c r="D6" i="4"/>
  <c r="E6" i="4"/>
  <c r="F6" i="4"/>
  <c r="G6" i="4"/>
  <c r="H6" i="4"/>
  <c r="I6" i="4"/>
  <c r="J6" i="4"/>
  <c r="K6" i="4"/>
  <c r="L6" i="4"/>
  <c r="B7" i="4"/>
  <c r="C7" i="4"/>
  <c r="D7" i="4"/>
  <c r="E7" i="4"/>
  <c r="F7" i="4"/>
  <c r="G7" i="4"/>
  <c r="H7" i="4"/>
  <c r="I7" i="4"/>
  <c r="J7" i="4"/>
  <c r="K7" i="4"/>
  <c r="L7" i="4"/>
  <c r="B8" i="4"/>
  <c r="C8" i="4"/>
  <c r="D8" i="4"/>
  <c r="E8" i="4"/>
  <c r="F8" i="4"/>
  <c r="G8" i="4"/>
  <c r="H8" i="4"/>
  <c r="I8" i="4"/>
  <c r="J8" i="4"/>
  <c r="K8" i="4"/>
  <c r="L8" i="4"/>
  <c r="A6" i="4"/>
  <c r="A7" i="4"/>
  <c r="A8" i="4"/>
  <c r="A5" i="4"/>
  <c r="B18" i="1"/>
  <c r="B25" i="1" s="1"/>
  <c r="D661" i="2" l="1"/>
  <c r="A661" i="2"/>
  <c r="D660" i="2"/>
  <c r="A660" i="2"/>
  <c r="D659" i="2"/>
  <c r="A659" i="2"/>
  <c r="D658" i="2"/>
  <c r="A658" i="2"/>
  <c r="D657" i="2"/>
  <c r="A657" i="2"/>
  <c r="D656" i="2"/>
  <c r="A656" i="2"/>
  <c r="D655" i="2"/>
  <c r="A655" i="2"/>
  <c r="D654" i="2"/>
  <c r="A654" i="2"/>
  <c r="D653" i="2"/>
  <c r="A653" i="2"/>
  <c r="D652" i="2"/>
  <c r="A652" i="2"/>
  <c r="D651" i="2"/>
  <c r="A651" i="2"/>
  <c r="D650" i="2"/>
  <c r="A650" i="2"/>
  <c r="D649" i="2"/>
  <c r="A649" i="2"/>
  <c r="D648" i="2"/>
  <c r="A648" i="2"/>
  <c r="D647" i="2"/>
  <c r="A647" i="2"/>
  <c r="D646" i="2"/>
  <c r="A646" i="2"/>
  <c r="D645" i="2"/>
  <c r="A645" i="2"/>
  <c r="D644" i="2"/>
  <c r="A644" i="2"/>
  <c r="D643" i="2"/>
  <c r="A643" i="2"/>
  <c r="D642" i="2"/>
  <c r="A642" i="2"/>
  <c r="D641" i="2"/>
  <c r="A641" i="2"/>
  <c r="D640" i="2"/>
  <c r="A640" i="2"/>
  <c r="D639" i="2"/>
  <c r="A639" i="2"/>
  <c r="D638" i="2"/>
  <c r="A638" i="2"/>
  <c r="D637" i="2"/>
  <c r="A637" i="2"/>
  <c r="D636" i="2"/>
  <c r="A636" i="2"/>
  <c r="D635" i="2"/>
  <c r="A635" i="2"/>
  <c r="D634" i="2"/>
  <c r="A634" i="2"/>
  <c r="D633" i="2"/>
  <c r="A633" i="2"/>
  <c r="D632" i="2"/>
  <c r="A632" i="2"/>
  <c r="D631" i="2"/>
  <c r="A631" i="2"/>
  <c r="D630" i="2"/>
  <c r="A630" i="2"/>
  <c r="D629" i="2"/>
  <c r="A629" i="2"/>
  <c r="D628" i="2"/>
  <c r="A628" i="2"/>
  <c r="D627" i="2"/>
  <c r="A627" i="2"/>
  <c r="D626" i="2"/>
  <c r="A626" i="2"/>
  <c r="D625" i="2"/>
  <c r="A625" i="2"/>
  <c r="D624" i="2"/>
  <c r="A624" i="2"/>
  <c r="D623" i="2"/>
  <c r="A623" i="2"/>
  <c r="D622" i="2"/>
  <c r="A622" i="2"/>
  <c r="D621" i="2"/>
  <c r="A621" i="2"/>
  <c r="D620" i="2"/>
  <c r="A620" i="2"/>
  <c r="D619" i="2"/>
  <c r="A619" i="2"/>
  <c r="D618" i="2"/>
  <c r="A618" i="2"/>
  <c r="D617" i="2"/>
  <c r="A617" i="2"/>
  <c r="D616" i="2"/>
  <c r="A616" i="2"/>
  <c r="D615" i="2"/>
  <c r="A615" i="2"/>
  <c r="D614" i="2"/>
  <c r="A614" i="2"/>
  <c r="D613" i="2"/>
  <c r="A613" i="2"/>
  <c r="D612" i="2"/>
  <c r="A612" i="2"/>
  <c r="D611" i="2"/>
  <c r="A611" i="2"/>
  <c r="D610" i="2"/>
  <c r="A610" i="2"/>
  <c r="D609" i="2"/>
  <c r="A609" i="2"/>
  <c r="D608" i="2"/>
  <c r="A608" i="2"/>
  <c r="D607" i="2"/>
  <c r="A607" i="2"/>
  <c r="D606" i="2"/>
  <c r="A606" i="2"/>
  <c r="D605" i="2"/>
  <c r="A605" i="2"/>
  <c r="D604" i="2"/>
  <c r="A604" i="2"/>
  <c r="D603" i="2"/>
  <c r="A603" i="2"/>
  <c r="D602" i="2"/>
  <c r="A602" i="2"/>
  <c r="D601" i="2"/>
  <c r="A601" i="2"/>
  <c r="D600" i="2"/>
  <c r="A600" i="2"/>
  <c r="D599" i="2"/>
  <c r="A599" i="2"/>
  <c r="D598" i="2"/>
  <c r="A598" i="2"/>
  <c r="D597" i="2"/>
  <c r="A597" i="2"/>
  <c r="D596" i="2"/>
  <c r="A596" i="2"/>
  <c r="D595" i="2"/>
  <c r="A595" i="2"/>
  <c r="D594" i="2"/>
  <c r="A594" i="2"/>
  <c r="D593" i="2"/>
  <c r="A593" i="2"/>
  <c r="D592" i="2"/>
  <c r="A592" i="2"/>
  <c r="D591" i="2"/>
  <c r="A591" i="2"/>
  <c r="D590" i="2"/>
  <c r="A590" i="2"/>
  <c r="D589" i="2"/>
  <c r="A589" i="2"/>
  <c r="D588" i="2"/>
  <c r="A588" i="2"/>
  <c r="D587" i="2"/>
  <c r="A587" i="2"/>
  <c r="D586" i="2"/>
  <c r="A586" i="2"/>
  <c r="D585" i="2"/>
  <c r="A585" i="2"/>
  <c r="D584" i="2"/>
  <c r="A584" i="2"/>
  <c r="D583" i="2"/>
  <c r="A583" i="2"/>
  <c r="D582" i="2"/>
  <c r="A582" i="2"/>
  <c r="D581" i="2"/>
  <c r="A581" i="2"/>
  <c r="D580" i="2"/>
  <c r="A580" i="2"/>
  <c r="D579" i="2"/>
  <c r="A579" i="2"/>
  <c r="D578" i="2"/>
  <c r="A578" i="2"/>
  <c r="D577" i="2"/>
  <c r="A577" i="2"/>
  <c r="D576" i="2"/>
  <c r="A576" i="2"/>
  <c r="D575" i="2"/>
  <c r="A575" i="2"/>
  <c r="D574" i="2"/>
  <c r="A574" i="2"/>
  <c r="D573" i="2"/>
  <c r="A573" i="2"/>
  <c r="D572" i="2"/>
  <c r="A572" i="2"/>
  <c r="D571" i="2"/>
  <c r="A571" i="2"/>
  <c r="D570" i="2"/>
  <c r="A570" i="2"/>
  <c r="D569" i="2"/>
  <c r="A569" i="2"/>
  <c r="D568" i="2"/>
  <c r="A568" i="2"/>
  <c r="D567" i="2"/>
  <c r="A567" i="2"/>
  <c r="D566" i="2"/>
  <c r="A566" i="2"/>
  <c r="D565" i="2"/>
  <c r="A565" i="2"/>
  <c r="D564" i="2"/>
  <c r="A564" i="2"/>
  <c r="D563" i="2"/>
  <c r="A563" i="2"/>
  <c r="D562" i="2"/>
  <c r="A562" i="2"/>
  <c r="D561" i="2"/>
  <c r="A561" i="2"/>
  <c r="D560" i="2"/>
  <c r="A560" i="2"/>
  <c r="D559" i="2"/>
  <c r="A559" i="2"/>
  <c r="D558" i="2"/>
  <c r="A558" i="2"/>
  <c r="D557" i="2"/>
  <c r="A557" i="2"/>
  <c r="D556" i="2"/>
  <c r="A556" i="2"/>
  <c r="D555" i="2"/>
  <c r="A555" i="2"/>
  <c r="D554" i="2"/>
  <c r="A554" i="2"/>
  <c r="D553" i="2"/>
  <c r="A553" i="2"/>
  <c r="D552" i="2"/>
  <c r="A552" i="2"/>
  <c r="D551" i="2"/>
  <c r="A551" i="2"/>
  <c r="D550" i="2"/>
  <c r="A550" i="2"/>
  <c r="D549" i="2"/>
  <c r="A549" i="2"/>
  <c r="D548" i="2"/>
  <c r="A548" i="2"/>
  <c r="D547" i="2"/>
  <c r="A547" i="2"/>
  <c r="D546" i="2"/>
  <c r="A546" i="2"/>
  <c r="D545" i="2"/>
  <c r="A545" i="2"/>
  <c r="D544" i="2"/>
  <c r="A544" i="2"/>
  <c r="D543" i="2"/>
  <c r="A543" i="2"/>
  <c r="D542" i="2"/>
  <c r="A542" i="2"/>
  <c r="D541" i="2"/>
  <c r="A541" i="2"/>
  <c r="D540" i="2"/>
  <c r="A540" i="2"/>
  <c r="D539" i="2"/>
  <c r="A539" i="2"/>
  <c r="D538" i="2"/>
  <c r="A538" i="2"/>
  <c r="D537" i="2"/>
  <c r="A537" i="2"/>
  <c r="D536" i="2"/>
  <c r="A536" i="2"/>
  <c r="D535" i="2"/>
  <c r="A535" i="2"/>
  <c r="D534" i="2"/>
  <c r="A534" i="2"/>
  <c r="D533" i="2"/>
  <c r="A533" i="2"/>
  <c r="D532" i="2"/>
  <c r="A532" i="2"/>
  <c r="D531" i="2"/>
  <c r="A531" i="2"/>
  <c r="D530" i="2"/>
  <c r="A530" i="2"/>
  <c r="D529" i="2"/>
  <c r="A529" i="2"/>
  <c r="D528" i="2"/>
  <c r="A528" i="2"/>
  <c r="D527" i="2"/>
  <c r="A527" i="2"/>
  <c r="D526" i="2"/>
  <c r="A526" i="2"/>
  <c r="D525" i="2"/>
  <c r="A525" i="2"/>
  <c r="D524" i="2"/>
  <c r="A524" i="2"/>
  <c r="D523" i="2"/>
  <c r="A523" i="2"/>
  <c r="D522" i="2"/>
  <c r="A522" i="2"/>
  <c r="D521" i="2"/>
  <c r="A521" i="2"/>
  <c r="D520" i="2"/>
  <c r="A520" i="2"/>
  <c r="D519" i="2"/>
  <c r="A519" i="2"/>
  <c r="D518" i="2"/>
  <c r="A518" i="2"/>
  <c r="A517" i="2"/>
  <c r="A516" i="2"/>
  <c r="D515" i="2"/>
  <c r="A515" i="2"/>
  <c r="D514" i="2"/>
  <c r="A514" i="2"/>
  <c r="A513" i="2"/>
  <c r="A512" i="2"/>
  <c r="A511" i="2"/>
  <c r="D510" i="2"/>
  <c r="A510" i="2"/>
  <c r="D509" i="2"/>
  <c r="A509" i="2"/>
  <c r="D508" i="2"/>
  <c r="A508" i="2"/>
  <c r="D507" i="2"/>
  <c r="A507" i="2"/>
  <c r="D506" i="2"/>
  <c r="A506" i="2"/>
  <c r="D505" i="2"/>
  <c r="A505" i="2"/>
  <c r="D504" i="2"/>
  <c r="A504" i="2"/>
  <c r="D503" i="2"/>
  <c r="A503" i="2"/>
  <c r="D502" i="2"/>
  <c r="A502" i="2"/>
  <c r="D501" i="2"/>
  <c r="A501" i="2"/>
  <c r="D500" i="2"/>
  <c r="A500" i="2"/>
  <c r="D499" i="2"/>
  <c r="A499" i="2"/>
  <c r="D498" i="2"/>
  <c r="A498" i="2"/>
  <c r="D497" i="2"/>
  <c r="A497" i="2"/>
  <c r="D496" i="2"/>
  <c r="A496" i="2"/>
  <c r="D495" i="2"/>
  <c r="A495" i="2"/>
  <c r="D494" i="2"/>
  <c r="A494" i="2"/>
  <c r="D493" i="2"/>
  <c r="A493" i="2"/>
  <c r="D492" i="2"/>
  <c r="A492" i="2"/>
  <c r="D491" i="2"/>
  <c r="A491" i="2"/>
  <c r="D490" i="2"/>
  <c r="A490" i="2"/>
  <c r="D489" i="2"/>
  <c r="A489" i="2"/>
  <c r="D488" i="2"/>
  <c r="A488" i="2"/>
  <c r="D487" i="2"/>
  <c r="A487" i="2"/>
  <c r="D486" i="2"/>
  <c r="A486" i="2"/>
  <c r="D485" i="2"/>
  <c r="A485" i="2"/>
  <c r="D484" i="2"/>
  <c r="A484" i="2"/>
  <c r="D483" i="2"/>
  <c r="A483" i="2"/>
  <c r="D482" i="2"/>
  <c r="A482" i="2"/>
  <c r="D481" i="2"/>
  <c r="A481" i="2"/>
  <c r="D480" i="2"/>
  <c r="A480" i="2"/>
  <c r="D479" i="2"/>
  <c r="A479" i="2"/>
  <c r="D478" i="2"/>
  <c r="A478" i="2"/>
  <c r="D477" i="2"/>
  <c r="A477" i="2"/>
  <c r="D476" i="2"/>
  <c r="A476" i="2"/>
  <c r="D475" i="2"/>
  <c r="A475" i="2"/>
  <c r="D474" i="2"/>
  <c r="A474" i="2"/>
  <c r="D473" i="2"/>
  <c r="A473" i="2"/>
  <c r="D472" i="2"/>
  <c r="A472" i="2"/>
  <c r="D471" i="2"/>
  <c r="A471" i="2"/>
  <c r="D470" i="2"/>
  <c r="A470" i="2"/>
  <c r="D469" i="2"/>
  <c r="A469" i="2"/>
  <c r="D468" i="2"/>
  <c r="A468" i="2"/>
  <c r="D467" i="2"/>
  <c r="A467" i="2"/>
  <c r="D466" i="2"/>
  <c r="A466" i="2"/>
  <c r="D465" i="2"/>
  <c r="A465" i="2"/>
  <c r="D464" i="2"/>
  <c r="A464" i="2"/>
  <c r="D463" i="2"/>
  <c r="A463" i="2"/>
  <c r="D462" i="2"/>
  <c r="A462" i="2"/>
  <c r="D461" i="2"/>
  <c r="A461" i="2"/>
  <c r="D460" i="2"/>
  <c r="A460" i="2"/>
  <c r="D459" i="2"/>
  <c r="A459" i="2"/>
  <c r="D458" i="2"/>
  <c r="A458" i="2"/>
  <c r="D457" i="2"/>
  <c r="A457" i="2"/>
  <c r="D456" i="2"/>
  <c r="A456" i="2"/>
  <c r="D455" i="2"/>
  <c r="A455" i="2"/>
  <c r="D454" i="2"/>
  <c r="A454" i="2"/>
  <c r="D453" i="2"/>
  <c r="A453" i="2"/>
  <c r="D452" i="2"/>
  <c r="A452" i="2"/>
  <c r="D451" i="2"/>
  <c r="A451" i="2"/>
  <c r="D450" i="2"/>
  <c r="A450" i="2"/>
  <c r="D449" i="2"/>
  <c r="A449" i="2"/>
  <c r="D448" i="2"/>
  <c r="A448" i="2"/>
  <c r="D447" i="2"/>
  <c r="A447" i="2"/>
  <c r="D446" i="2"/>
  <c r="A446" i="2"/>
  <c r="D445" i="2"/>
  <c r="A445" i="2"/>
  <c r="D444" i="2"/>
  <c r="A444" i="2"/>
  <c r="D443" i="2"/>
  <c r="A443" i="2"/>
  <c r="D442" i="2"/>
  <c r="A442" i="2"/>
  <c r="D441" i="2"/>
  <c r="A441" i="2"/>
  <c r="D440" i="2"/>
  <c r="A440" i="2"/>
  <c r="D439" i="2"/>
  <c r="A439" i="2"/>
  <c r="D438" i="2"/>
  <c r="A438" i="2"/>
  <c r="D437" i="2"/>
  <c r="A437" i="2"/>
  <c r="D436" i="2"/>
  <c r="A436" i="2"/>
  <c r="D435" i="2"/>
  <c r="A435" i="2"/>
  <c r="D434" i="2"/>
  <c r="A434" i="2"/>
  <c r="D433" i="2"/>
  <c r="A433" i="2"/>
  <c r="D432" i="2"/>
  <c r="A432" i="2"/>
  <c r="D431" i="2"/>
  <c r="A431" i="2"/>
  <c r="D430" i="2"/>
  <c r="A430" i="2"/>
  <c r="D429" i="2"/>
  <c r="A429" i="2"/>
  <c r="D428" i="2"/>
  <c r="A428" i="2"/>
  <c r="D427" i="2"/>
  <c r="A427" i="2"/>
  <c r="D426" i="2"/>
  <c r="A426" i="2"/>
  <c r="D425" i="2"/>
  <c r="A425" i="2"/>
  <c r="D424" i="2"/>
  <c r="A424" i="2"/>
  <c r="D423" i="2"/>
  <c r="A423" i="2"/>
  <c r="D422" i="2"/>
  <c r="A422" i="2"/>
  <c r="D421" i="2"/>
  <c r="A421" i="2"/>
  <c r="D420" i="2"/>
  <c r="A420" i="2"/>
  <c r="D419" i="2"/>
  <c r="A419" i="2"/>
  <c r="D418" i="2"/>
  <c r="A418" i="2"/>
  <c r="D417" i="2"/>
  <c r="A417" i="2"/>
  <c r="D416" i="2"/>
  <c r="A416" i="2"/>
  <c r="D415" i="2"/>
  <c r="A415" i="2"/>
  <c r="D414" i="2"/>
  <c r="A414" i="2"/>
  <c r="D413" i="2"/>
  <c r="A413" i="2"/>
  <c r="D412" i="2"/>
  <c r="A412" i="2"/>
  <c r="D411" i="2"/>
  <c r="A411" i="2"/>
  <c r="D410" i="2"/>
  <c r="A410" i="2"/>
  <c r="D409" i="2"/>
  <c r="A409" i="2"/>
  <c r="D408" i="2"/>
  <c r="A408" i="2"/>
  <c r="D407" i="2"/>
  <c r="A407" i="2"/>
  <c r="D406" i="2"/>
  <c r="A406" i="2"/>
  <c r="D405" i="2"/>
  <c r="A405" i="2"/>
  <c r="D404" i="2"/>
  <c r="A404" i="2"/>
  <c r="D403" i="2"/>
  <c r="A403" i="2"/>
  <c r="D402" i="2"/>
  <c r="A402" i="2"/>
  <c r="D401" i="2"/>
  <c r="A401" i="2"/>
  <c r="D400" i="2"/>
  <c r="A400" i="2"/>
  <c r="D399" i="2"/>
  <c r="A399" i="2"/>
  <c r="D398" i="2"/>
  <c r="A398" i="2"/>
  <c r="D397" i="2"/>
  <c r="A397" i="2"/>
  <c r="D396" i="2"/>
  <c r="A396" i="2"/>
  <c r="D395" i="2"/>
  <c r="A395" i="2"/>
  <c r="D394" i="2"/>
  <c r="A394" i="2"/>
  <c r="D393" i="2"/>
  <c r="A393" i="2"/>
  <c r="D392" i="2"/>
  <c r="A392" i="2"/>
  <c r="D391" i="2"/>
  <c r="A391" i="2"/>
  <c r="D390" i="2"/>
  <c r="A390" i="2"/>
  <c r="D389" i="2"/>
  <c r="A389" i="2"/>
  <c r="D388" i="2"/>
  <c r="A388" i="2"/>
  <c r="D387" i="2"/>
  <c r="A387" i="2"/>
  <c r="D386" i="2"/>
  <c r="A386" i="2"/>
  <c r="D385" i="2"/>
  <c r="A385" i="2"/>
  <c r="D384" i="2"/>
  <c r="A384" i="2"/>
  <c r="D383" i="2"/>
  <c r="A383" i="2"/>
  <c r="D382" i="2"/>
  <c r="A382" i="2"/>
  <c r="D381" i="2"/>
  <c r="A381" i="2"/>
  <c r="D380" i="2"/>
  <c r="A380" i="2"/>
  <c r="D379" i="2"/>
  <c r="A379" i="2"/>
  <c r="D378" i="2"/>
  <c r="A378" i="2"/>
  <c r="D377" i="2"/>
  <c r="A377" i="2"/>
  <c r="D376" i="2"/>
  <c r="A376" i="2"/>
  <c r="D375" i="2"/>
  <c r="A375" i="2"/>
  <c r="D374" i="2"/>
  <c r="A374" i="2"/>
  <c r="D373" i="2"/>
  <c r="A373" i="2"/>
  <c r="D372" i="2"/>
  <c r="A372" i="2"/>
  <c r="D371" i="2"/>
  <c r="A371" i="2"/>
  <c r="D370" i="2"/>
  <c r="A370" i="2"/>
  <c r="D369" i="2"/>
  <c r="A369" i="2"/>
  <c r="D368" i="2"/>
  <c r="A368" i="2"/>
  <c r="D367" i="2"/>
  <c r="A367" i="2"/>
  <c r="D366" i="2"/>
  <c r="A366" i="2"/>
  <c r="D365" i="2"/>
  <c r="A365" i="2"/>
  <c r="D364" i="2"/>
  <c r="A364" i="2"/>
  <c r="D363" i="2"/>
  <c r="A363" i="2"/>
  <c r="D362" i="2"/>
  <c r="A362" i="2"/>
  <c r="D361" i="2"/>
  <c r="A361" i="2"/>
  <c r="D360" i="2"/>
  <c r="A360" i="2"/>
  <c r="D359" i="2"/>
  <c r="A359" i="2"/>
  <c r="D358" i="2"/>
  <c r="A358" i="2"/>
  <c r="D357" i="2"/>
  <c r="A357" i="2"/>
  <c r="D356" i="2"/>
  <c r="A356" i="2"/>
  <c r="D355" i="2"/>
  <c r="A355" i="2"/>
  <c r="D354" i="2"/>
  <c r="A354" i="2"/>
  <c r="D353" i="2"/>
  <c r="A353" i="2"/>
  <c r="D352" i="2"/>
  <c r="A352" i="2"/>
  <c r="D351" i="2"/>
  <c r="A351" i="2"/>
  <c r="D350" i="2"/>
  <c r="A350" i="2"/>
  <c r="D349" i="2"/>
  <c r="A349" i="2"/>
  <c r="D348" i="2"/>
  <c r="A348" i="2"/>
  <c r="D347" i="2"/>
  <c r="A347" i="2"/>
  <c r="D346" i="2"/>
  <c r="A346" i="2"/>
  <c r="D345" i="2"/>
  <c r="A345" i="2"/>
  <c r="D344" i="2"/>
  <c r="A344" i="2"/>
  <c r="D343" i="2"/>
  <c r="A343" i="2"/>
  <c r="D342" i="2"/>
  <c r="A342" i="2"/>
  <c r="D341" i="2"/>
  <c r="A341" i="2"/>
  <c r="D340" i="2"/>
  <c r="A340" i="2"/>
  <c r="D339" i="2"/>
  <c r="A339" i="2"/>
  <c r="D338" i="2"/>
  <c r="A338" i="2"/>
  <c r="D337" i="2"/>
  <c r="A337" i="2"/>
  <c r="D336" i="2"/>
  <c r="A336" i="2"/>
  <c r="D335" i="2"/>
  <c r="A335" i="2"/>
  <c r="D334" i="2"/>
  <c r="A334" i="2"/>
  <c r="D333" i="2"/>
  <c r="A333" i="2"/>
  <c r="D332" i="2"/>
  <c r="A332" i="2"/>
  <c r="D331" i="2"/>
  <c r="A331" i="2"/>
  <c r="D330" i="2"/>
  <c r="A330" i="2"/>
  <c r="D329" i="2"/>
  <c r="A329" i="2"/>
  <c r="D328" i="2"/>
  <c r="A328" i="2"/>
  <c r="D327" i="2"/>
  <c r="A327" i="2"/>
  <c r="D326" i="2"/>
  <c r="A326" i="2"/>
  <c r="D325" i="2"/>
  <c r="A325" i="2"/>
  <c r="D324" i="2"/>
  <c r="A324" i="2"/>
  <c r="D323" i="2"/>
  <c r="A323" i="2"/>
  <c r="D322" i="2"/>
  <c r="A322" i="2"/>
  <c r="D321" i="2"/>
  <c r="A321" i="2"/>
  <c r="D320" i="2"/>
  <c r="A320" i="2"/>
  <c r="D319" i="2"/>
  <c r="A319" i="2"/>
  <c r="D318" i="2"/>
  <c r="A318" i="2"/>
  <c r="D317" i="2"/>
  <c r="A317" i="2"/>
  <c r="D316" i="2"/>
  <c r="A316" i="2"/>
  <c r="D315" i="2"/>
  <c r="A315" i="2"/>
  <c r="D314" i="2"/>
  <c r="A314" i="2"/>
  <c r="D313" i="2"/>
  <c r="A313" i="2"/>
  <c r="D312" i="2"/>
  <c r="A312" i="2"/>
  <c r="D311" i="2"/>
  <c r="A311" i="2"/>
  <c r="D310" i="2"/>
  <c r="A310" i="2"/>
  <c r="D309" i="2"/>
  <c r="A309" i="2"/>
  <c r="D308" i="2"/>
  <c r="A308" i="2"/>
  <c r="D307" i="2"/>
  <c r="A307" i="2"/>
  <c r="D306" i="2"/>
  <c r="A306" i="2"/>
  <c r="D305" i="2"/>
  <c r="A305" i="2"/>
  <c r="D304" i="2"/>
  <c r="A304" i="2"/>
  <c r="D303" i="2"/>
  <c r="A303" i="2"/>
  <c r="D302" i="2"/>
  <c r="A302" i="2"/>
  <c r="D301" i="2"/>
  <c r="A301" i="2"/>
  <c r="D300" i="2"/>
  <c r="A300" i="2"/>
  <c r="D299" i="2"/>
  <c r="A299" i="2"/>
  <c r="D298" i="2"/>
  <c r="A298" i="2"/>
  <c r="D297" i="2"/>
  <c r="A297" i="2"/>
  <c r="D296" i="2"/>
  <c r="A296" i="2"/>
  <c r="D295" i="2"/>
  <c r="A295" i="2"/>
  <c r="D294" i="2"/>
  <c r="A294" i="2"/>
  <c r="D293" i="2"/>
  <c r="A293" i="2"/>
  <c r="D292" i="2"/>
  <c r="A292" i="2"/>
  <c r="D291" i="2"/>
  <c r="A291" i="2"/>
  <c r="D290" i="2"/>
  <c r="A290" i="2"/>
  <c r="D289" i="2"/>
  <c r="A289" i="2"/>
  <c r="D288" i="2"/>
  <c r="A288" i="2"/>
  <c r="D287" i="2"/>
  <c r="A287" i="2"/>
  <c r="D286" i="2"/>
  <c r="A286" i="2"/>
  <c r="D285" i="2"/>
  <c r="A285" i="2"/>
  <c r="D284" i="2"/>
  <c r="A284" i="2"/>
  <c r="D283" i="2"/>
  <c r="A283" i="2"/>
  <c r="D282" i="2"/>
  <c r="A282" i="2"/>
  <c r="D281" i="2"/>
  <c r="A281" i="2"/>
  <c r="D280" i="2"/>
  <c r="A280" i="2"/>
  <c r="D279" i="2"/>
  <c r="A279" i="2"/>
  <c r="D278" i="2"/>
  <c r="A278" i="2"/>
  <c r="D277" i="2"/>
  <c r="A277" i="2"/>
  <c r="D276" i="2"/>
  <c r="A276" i="2"/>
  <c r="D275" i="2"/>
  <c r="A275" i="2"/>
  <c r="D274" i="2"/>
  <c r="A274" i="2"/>
  <c r="D273" i="2"/>
  <c r="A273" i="2"/>
  <c r="D272" i="2"/>
  <c r="A272" i="2"/>
  <c r="D271" i="2"/>
  <c r="A271" i="2"/>
  <c r="D270" i="2"/>
  <c r="A270" i="2"/>
  <c r="D269" i="2"/>
  <c r="A269" i="2"/>
  <c r="D268" i="2"/>
  <c r="A268" i="2"/>
  <c r="D267" i="2"/>
  <c r="A267" i="2"/>
  <c r="D266" i="2"/>
  <c r="A266" i="2"/>
  <c r="D265" i="2"/>
  <c r="A265" i="2"/>
  <c r="D264" i="2"/>
  <c r="A264" i="2"/>
  <c r="D263" i="2"/>
  <c r="A263" i="2"/>
  <c r="D262" i="2"/>
  <c r="A262" i="2"/>
  <c r="D261" i="2"/>
  <c r="A261" i="2"/>
  <c r="D260" i="2"/>
  <c r="A260" i="2"/>
  <c r="D259" i="2"/>
  <c r="A259" i="2"/>
  <c r="D258" i="2"/>
  <c r="A258" i="2"/>
  <c r="D257" i="2"/>
  <c r="A257" i="2"/>
  <c r="D256" i="2"/>
  <c r="A256" i="2"/>
  <c r="D255" i="2"/>
  <c r="A255" i="2"/>
  <c r="D254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D241" i="2"/>
  <c r="A241" i="2"/>
  <c r="D240" i="2"/>
  <c r="A240" i="2"/>
  <c r="D239" i="2"/>
  <c r="A239" i="2"/>
  <c r="D238" i="2"/>
  <c r="A238" i="2"/>
  <c r="D237" i="2"/>
  <c r="A237" i="2"/>
  <c r="D236" i="2"/>
  <c r="A236" i="2"/>
  <c r="D235" i="2"/>
  <c r="A235" i="2"/>
  <c r="D234" i="2"/>
  <c r="A234" i="2"/>
  <c r="D233" i="2"/>
  <c r="A233" i="2"/>
  <c r="D232" i="2"/>
  <c r="A232" i="2"/>
  <c r="D231" i="2"/>
  <c r="A231" i="2"/>
  <c r="D230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D217" i="2"/>
  <c r="A217" i="2"/>
  <c r="D216" i="2"/>
  <c r="A216" i="2"/>
  <c r="D215" i="2"/>
  <c r="A215" i="2"/>
  <c r="D214" i="2"/>
  <c r="A214" i="2"/>
  <c r="D213" i="2"/>
  <c r="A213" i="2"/>
  <c r="D212" i="2"/>
  <c r="A212" i="2"/>
  <c r="D211" i="2"/>
  <c r="A211" i="2"/>
  <c r="D210" i="2"/>
  <c r="A210" i="2"/>
  <c r="D209" i="2"/>
  <c r="A209" i="2"/>
  <c r="D208" i="2"/>
  <c r="A208" i="2"/>
  <c r="D207" i="2"/>
  <c r="A207" i="2"/>
  <c r="D206" i="2"/>
  <c r="A206" i="2"/>
  <c r="D205" i="2"/>
  <c r="A205" i="2"/>
  <c r="D204" i="2"/>
  <c r="A204" i="2"/>
  <c r="D203" i="2"/>
  <c r="A203" i="2"/>
  <c r="D202" i="2"/>
  <c r="A202" i="2"/>
  <c r="D201" i="2"/>
  <c r="A201" i="2"/>
  <c r="D200" i="2"/>
  <c r="A200" i="2"/>
  <c r="D199" i="2"/>
  <c r="A199" i="2"/>
  <c r="D198" i="2"/>
  <c r="A198" i="2"/>
  <c r="D197" i="2"/>
  <c r="A197" i="2"/>
  <c r="D196" i="2"/>
  <c r="A196" i="2"/>
  <c r="D195" i="2"/>
  <c r="A195" i="2"/>
  <c r="D194" i="2"/>
  <c r="A194" i="2"/>
  <c r="A193" i="2"/>
  <c r="A192" i="2"/>
  <c r="A191" i="2"/>
  <c r="A190" i="2"/>
  <c r="A189" i="2"/>
  <c r="D188" i="2"/>
  <c r="A188" i="2"/>
  <c r="D187" i="2"/>
  <c r="A187" i="2"/>
  <c r="A186" i="2"/>
  <c r="A185" i="2"/>
  <c r="A184" i="2"/>
  <c r="A183" i="2"/>
  <c r="A182" i="2"/>
  <c r="D181" i="2"/>
  <c r="A181" i="2"/>
  <c r="D180" i="2"/>
  <c r="A180" i="2"/>
  <c r="D179" i="2"/>
  <c r="A179" i="2"/>
  <c r="D178" i="2"/>
  <c r="A178" i="2"/>
  <c r="D177" i="2"/>
  <c r="A177" i="2"/>
  <c r="D176" i="2"/>
  <c r="A176" i="2"/>
  <c r="D175" i="2"/>
  <c r="A175" i="2"/>
  <c r="D174" i="2"/>
  <c r="A174" i="2"/>
  <c r="D173" i="2"/>
  <c r="A173" i="2"/>
  <c r="D172" i="2"/>
  <c r="A172" i="2"/>
  <c r="D171" i="2"/>
  <c r="A171" i="2"/>
  <c r="D170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D158" i="2"/>
  <c r="A158" i="2"/>
  <c r="D157" i="2"/>
  <c r="A157" i="2"/>
  <c r="D156" i="2"/>
  <c r="A156" i="2"/>
  <c r="D155" i="2"/>
  <c r="A155" i="2"/>
  <c r="D154" i="2"/>
  <c r="A154" i="2"/>
  <c r="D153" i="2"/>
  <c r="A153" i="2"/>
  <c r="D152" i="2"/>
  <c r="A152" i="2"/>
  <c r="D151" i="2"/>
  <c r="A151" i="2"/>
  <c r="D150" i="2"/>
  <c r="A150" i="2"/>
  <c r="D149" i="2"/>
  <c r="A149" i="2"/>
  <c r="D148" i="2"/>
  <c r="A148" i="2"/>
  <c r="D147" i="2"/>
  <c r="A147" i="2"/>
  <c r="D146" i="2"/>
  <c r="A146" i="2"/>
  <c r="D145" i="2"/>
  <c r="A145" i="2"/>
  <c r="D144" i="2"/>
  <c r="A144" i="2"/>
  <c r="D143" i="2"/>
  <c r="A143" i="2"/>
  <c r="D142" i="2"/>
  <c r="A142" i="2"/>
  <c r="D141" i="2"/>
  <c r="A141" i="2"/>
  <c r="D140" i="2"/>
  <c r="A140" i="2"/>
  <c r="D139" i="2"/>
  <c r="A139" i="2"/>
  <c r="D138" i="2"/>
  <c r="A138" i="2"/>
  <c r="D137" i="2"/>
  <c r="A137" i="2"/>
  <c r="D136" i="2"/>
  <c r="A136" i="2"/>
  <c r="D135" i="2"/>
  <c r="A135" i="2"/>
  <c r="D134" i="2"/>
  <c r="A134" i="2"/>
  <c r="D133" i="2"/>
  <c r="A133" i="2"/>
  <c r="D132" i="2"/>
  <c r="A132" i="2"/>
  <c r="D131" i="2"/>
  <c r="A131" i="2"/>
  <c r="D130" i="2"/>
  <c r="A130" i="2"/>
  <c r="D129" i="2"/>
  <c r="A129" i="2"/>
  <c r="D128" i="2"/>
  <c r="A128" i="2"/>
  <c r="D127" i="2"/>
  <c r="A127" i="2"/>
  <c r="D126" i="2"/>
  <c r="A126" i="2"/>
  <c r="D125" i="2"/>
  <c r="A125" i="2"/>
  <c r="D124" i="2"/>
  <c r="A124" i="2"/>
  <c r="D123" i="2"/>
  <c r="A123" i="2"/>
  <c r="D122" i="2"/>
  <c r="A122" i="2"/>
  <c r="D121" i="2"/>
  <c r="A121" i="2"/>
  <c r="D120" i="2"/>
  <c r="A120" i="2"/>
  <c r="D119" i="2"/>
  <c r="A119" i="2"/>
  <c r="D118" i="2"/>
  <c r="A118" i="2"/>
  <c r="D117" i="2"/>
  <c r="A117" i="2"/>
  <c r="D116" i="2"/>
  <c r="A116" i="2"/>
  <c r="D115" i="2"/>
  <c r="A115" i="2"/>
  <c r="D114" i="2"/>
  <c r="A114" i="2"/>
  <c r="D113" i="2"/>
  <c r="A113" i="2"/>
  <c r="D112" i="2"/>
  <c r="A112" i="2"/>
  <c r="D111" i="2"/>
  <c r="A111" i="2"/>
  <c r="D110" i="2"/>
  <c r="A110" i="2"/>
  <c r="D109" i="2"/>
  <c r="A109" i="2"/>
  <c r="D108" i="2"/>
  <c r="A108" i="2"/>
  <c r="D107" i="2"/>
  <c r="A107" i="2"/>
  <c r="D106" i="2"/>
  <c r="A106" i="2"/>
  <c r="D105" i="2"/>
  <c r="A105" i="2"/>
  <c r="D104" i="2"/>
  <c r="A104" i="2"/>
  <c r="D103" i="2"/>
  <c r="A103" i="2"/>
  <c r="D102" i="2"/>
  <c r="A102" i="2"/>
  <c r="D101" i="2"/>
  <c r="A101" i="2"/>
  <c r="D100" i="2"/>
  <c r="A100" i="2"/>
  <c r="D99" i="2"/>
  <c r="A99" i="2"/>
  <c r="D98" i="2"/>
  <c r="A98" i="2"/>
  <c r="D97" i="2"/>
  <c r="A97" i="2"/>
  <c r="D96" i="2"/>
  <c r="A96" i="2"/>
  <c r="D95" i="2"/>
  <c r="A95" i="2"/>
  <c r="D94" i="2"/>
  <c r="A94" i="2"/>
  <c r="D93" i="2"/>
  <c r="A93" i="2"/>
  <c r="D92" i="2"/>
  <c r="A92" i="2"/>
  <c r="D91" i="2"/>
  <c r="A91" i="2"/>
  <c r="D90" i="2"/>
  <c r="A90" i="2"/>
  <c r="D89" i="2"/>
  <c r="A89" i="2"/>
  <c r="D88" i="2"/>
  <c r="A88" i="2"/>
  <c r="D87" i="2"/>
  <c r="A87" i="2"/>
  <c r="D86" i="2"/>
  <c r="A86" i="2"/>
  <c r="D85" i="2"/>
  <c r="A85" i="2"/>
  <c r="D84" i="2"/>
  <c r="A84" i="2"/>
  <c r="D83" i="2"/>
  <c r="A83" i="2"/>
  <c r="D82" i="2"/>
  <c r="A82" i="2"/>
  <c r="D81" i="2"/>
  <c r="A81" i="2"/>
  <c r="D80" i="2"/>
  <c r="A80" i="2"/>
  <c r="D79" i="2"/>
  <c r="A79" i="2"/>
  <c r="D78" i="2"/>
  <c r="A78" i="2"/>
  <c r="D77" i="2"/>
  <c r="A77" i="2"/>
  <c r="D76" i="2"/>
  <c r="A76" i="2"/>
  <c r="D75" i="2"/>
  <c r="A75" i="2"/>
  <c r="D74" i="2"/>
  <c r="A74" i="2"/>
  <c r="D73" i="2"/>
  <c r="A73" i="2"/>
  <c r="D72" i="2"/>
  <c r="A72" i="2"/>
  <c r="D71" i="2"/>
  <c r="A71" i="2"/>
  <c r="D70" i="2"/>
  <c r="A70" i="2"/>
  <c r="D69" i="2"/>
  <c r="A69" i="2"/>
  <c r="D68" i="2"/>
  <c r="A68" i="2"/>
  <c r="D67" i="2"/>
  <c r="A67" i="2"/>
  <c r="D66" i="2"/>
  <c r="A66" i="2"/>
  <c r="D65" i="2"/>
  <c r="A65" i="2"/>
  <c r="D64" i="2"/>
  <c r="A64" i="2"/>
  <c r="D63" i="2"/>
  <c r="A63" i="2"/>
  <c r="D62" i="2"/>
  <c r="A62" i="2"/>
  <c r="D61" i="2"/>
  <c r="A61" i="2"/>
  <c r="D60" i="2"/>
  <c r="A60" i="2"/>
  <c r="D59" i="2"/>
  <c r="A59" i="2"/>
  <c r="D58" i="2"/>
  <c r="A58" i="2"/>
  <c r="D57" i="2"/>
  <c r="A57" i="2"/>
  <c r="D56" i="2"/>
  <c r="A56" i="2"/>
  <c r="D55" i="2"/>
  <c r="A55" i="2"/>
  <c r="D54" i="2"/>
  <c r="A54" i="2"/>
  <c r="D53" i="2"/>
  <c r="A53" i="2"/>
  <c r="D52" i="2"/>
  <c r="A52" i="2"/>
  <c r="D51" i="2"/>
  <c r="A51" i="2"/>
  <c r="D50" i="2"/>
  <c r="A50" i="2"/>
  <c r="D49" i="2"/>
  <c r="A49" i="2"/>
  <c r="D48" i="2"/>
  <c r="A48" i="2"/>
  <c r="D47" i="2"/>
  <c r="A47" i="2"/>
  <c r="D46" i="2"/>
  <c r="A46" i="2"/>
  <c r="D45" i="2"/>
  <c r="A45" i="2"/>
  <c r="D44" i="2"/>
  <c r="A44" i="2"/>
  <c r="D43" i="2"/>
  <c r="A43" i="2"/>
  <c r="D42" i="2"/>
  <c r="A42" i="2"/>
  <c r="D41" i="2"/>
  <c r="A41" i="2"/>
  <c r="D40" i="2"/>
  <c r="A40" i="2"/>
  <c r="D39" i="2"/>
  <c r="A39" i="2"/>
  <c r="D38" i="2"/>
  <c r="A38" i="2"/>
  <c r="D37" i="2"/>
  <c r="A37" i="2"/>
  <c r="D36" i="2"/>
  <c r="A36" i="2"/>
  <c r="D35" i="2"/>
  <c r="A35" i="2"/>
  <c r="D34" i="2"/>
  <c r="A34" i="2"/>
  <c r="D33" i="2"/>
  <c r="A33" i="2"/>
  <c r="D32" i="2"/>
  <c r="A32" i="2"/>
  <c r="D31" i="2"/>
  <c r="A31" i="2"/>
  <c r="D30" i="2"/>
  <c r="A30" i="2"/>
  <c r="D29" i="2"/>
  <c r="A29" i="2"/>
  <c r="D28" i="2"/>
  <c r="A28" i="2"/>
  <c r="D27" i="2"/>
  <c r="A27" i="2"/>
  <c r="D26" i="2"/>
  <c r="A26" i="2"/>
  <c r="D25" i="2"/>
  <c r="A25" i="2"/>
  <c r="D24" i="2"/>
  <c r="A24" i="2"/>
  <c r="D23" i="2"/>
  <c r="A23" i="2"/>
  <c r="D22" i="2"/>
  <c r="A22" i="2"/>
  <c r="D21" i="2"/>
  <c r="A21" i="2"/>
  <c r="D20" i="2"/>
  <c r="A20" i="2"/>
  <c r="D19" i="2"/>
  <c r="A19" i="2"/>
  <c r="D18" i="2"/>
  <c r="A18" i="2"/>
  <c r="D17" i="2"/>
  <c r="A17" i="2"/>
  <c r="D16" i="2"/>
  <c r="A16" i="2"/>
  <c r="D15" i="2"/>
  <c r="A15" i="2"/>
  <c r="D14" i="2"/>
  <c r="A14" i="2"/>
  <c r="D13" i="2"/>
  <c r="A13" i="2"/>
  <c r="D12" i="2"/>
  <c r="A12" i="2"/>
  <c r="D11" i="2"/>
  <c r="A11" i="2"/>
  <c r="D10" i="2"/>
  <c r="A10" i="2"/>
  <c r="D9" i="2"/>
  <c r="A9" i="2"/>
  <c r="D8" i="2"/>
  <c r="A8" i="2"/>
  <c r="D7" i="2"/>
  <c r="A7" i="2"/>
  <c r="D6" i="2"/>
  <c r="A6" i="2"/>
  <c r="D5" i="2"/>
  <c r="A5" i="2"/>
  <c r="D4" i="2"/>
  <c r="A4" i="2"/>
  <c r="D3" i="2"/>
  <c r="A3" i="2"/>
  <c r="D2" i="2"/>
  <c r="A2" i="2"/>
  <c r="S66" i="1"/>
  <c r="M66" i="1"/>
  <c r="L66" i="1"/>
  <c r="K66" i="1"/>
  <c r="R66" i="1" s="1"/>
  <c r="J66" i="1"/>
  <c r="I66" i="1"/>
  <c r="H66" i="1"/>
  <c r="Q66" i="1" s="1"/>
  <c r="G66" i="1"/>
  <c r="F66" i="1"/>
  <c r="E66" i="1"/>
  <c r="D66" i="1"/>
  <c r="C66" i="1"/>
  <c r="B66" i="1"/>
  <c r="R51" i="1"/>
  <c r="R53" i="1" s="1"/>
  <c r="R54" i="1" s="1"/>
  <c r="Q51" i="1"/>
  <c r="Q53" i="1" s="1"/>
  <c r="Q54" i="1" s="1"/>
  <c r="D517" i="2"/>
  <c r="D516" i="2"/>
  <c r="D513" i="2"/>
  <c r="D512" i="2"/>
  <c r="D511" i="2"/>
  <c r="P51" i="1"/>
  <c r="P53" i="1" s="1"/>
  <c r="P54" i="1" s="1"/>
  <c r="F25" i="1"/>
  <c r="D222" i="2" s="1"/>
  <c r="E25" i="1"/>
  <c r="D221" i="2" s="1"/>
  <c r="M20" i="1"/>
  <c r="D193" i="2" s="1"/>
  <c r="L20" i="1"/>
  <c r="D192" i="2" s="1"/>
  <c r="K20" i="1"/>
  <c r="D191" i="2" s="1"/>
  <c r="J20" i="1"/>
  <c r="J27" i="1" s="1"/>
  <c r="D250" i="2" s="1"/>
  <c r="I20" i="1"/>
  <c r="I27" i="1" s="1"/>
  <c r="D249" i="2" s="1"/>
  <c r="H20" i="1"/>
  <c r="H27" i="1" s="1"/>
  <c r="G20" i="1"/>
  <c r="G27" i="1" s="1"/>
  <c r="D247" i="2" s="1"/>
  <c r="F20" i="1"/>
  <c r="F27" i="1" s="1"/>
  <c r="D246" i="2" s="1"/>
  <c r="E20" i="1"/>
  <c r="E27" i="1" s="1"/>
  <c r="D245" i="2" s="1"/>
  <c r="D20" i="1"/>
  <c r="D27" i="1" s="1"/>
  <c r="D244" i="2" s="1"/>
  <c r="C20" i="1"/>
  <c r="C27" i="1" s="1"/>
  <c r="D243" i="2" s="1"/>
  <c r="B20" i="1"/>
  <c r="B27" i="1" s="1"/>
  <c r="M18" i="1"/>
  <c r="D169" i="2" s="1"/>
  <c r="L18" i="1"/>
  <c r="D168" i="2" s="1"/>
  <c r="K18" i="1"/>
  <c r="K25" i="1" s="1"/>
  <c r="J18" i="1"/>
  <c r="J25" i="1" s="1"/>
  <c r="D226" i="2" s="1"/>
  <c r="I18" i="1"/>
  <c r="D165" i="2" s="1"/>
  <c r="H18" i="1"/>
  <c r="D164" i="2" s="1"/>
  <c r="G18" i="1"/>
  <c r="G25" i="1" s="1"/>
  <c r="D223" i="2" s="1"/>
  <c r="F18" i="1"/>
  <c r="D162" i="2" s="1"/>
  <c r="E18" i="1"/>
  <c r="D161" i="2" s="1"/>
  <c r="D18" i="1"/>
  <c r="D160" i="2" s="1"/>
  <c r="C18" i="1"/>
  <c r="C25" i="1" s="1"/>
  <c r="D219" i="2" s="1"/>
  <c r="R5" i="1"/>
  <c r="Q5" i="1"/>
  <c r="P5" i="1"/>
  <c r="R4" i="1"/>
  <c r="Q4" i="1"/>
  <c r="P4" i="1"/>
  <c r="R3" i="1"/>
  <c r="Q3" i="1"/>
  <c r="P3" i="1"/>
  <c r="D25" i="1" l="1"/>
  <c r="D220" i="2" s="1"/>
  <c r="D166" i="2"/>
  <c r="D185" i="2"/>
  <c r="D159" i="2"/>
  <c r="P66" i="1"/>
  <c r="D184" i="2"/>
  <c r="D186" i="2"/>
  <c r="D167" i="2"/>
  <c r="D182" i="2"/>
  <c r="D183" i="2"/>
  <c r="D227" i="2"/>
  <c r="D218" i="2"/>
  <c r="D242" i="2"/>
  <c r="L27" i="1"/>
  <c r="D252" i="2" s="1"/>
  <c r="H25" i="1"/>
  <c r="D163" i="2"/>
  <c r="I25" i="1"/>
  <c r="D225" i="2" s="1"/>
  <c r="D248" i="2"/>
  <c r="L25" i="1"/>
  <c r="D228" i="2" s="1"/>
  <c r="D189" i="2"/>
  <c r="K27" i="1"/>
  <c r="D190" i="2"/>
  <c r="M27" i="1"/>
  <c r="D253" i="2" s="1"/>
  <c r="M25" i="1"/>
  <c r="D229" i="2" s="1"/>
  <c r="D251" i="2" l="1"/>
  <c r="R27" i="1"/>
  <c r="Q25" i="1"/>
  <c r="D224" i="2"/>
  <c r="P25" i="1"/>
  <c r="P27" i="1"/>
  <c r="R25" i="1"/>
  <c r="Q27" i="1"/>
</calcChain>
</file>

<file path=xl/sharedStrings.xml><?xml version="1.0" encoding="utf-8"?>
<sst xmlns="http://schemas.openxmlformats.org/spreadsheetml/2006/main" count="1440" uniqueCount="95">
  <si>
    <t>Date</t>
  </si>
  <si>
    <t>Volumes Before</t>
  </si>
  <si>
    <t>LTM</t>
  </si>
  <si>
    <t>L6M</t>
  </si>
  <si>
    <t>L3M</t>
  </si>
  <si>
    <t>PHD FM</t>
  </si>
  <si>
    <t>Volumes After</t>
  </si>
  <si>
    <t>Oil Volume (MBBLs)</t>
  </si>
  <si>
    <t>Oil, Mbbl</t>
  </si>
  <si>
    <t>Gas Volume (MMCF)</t>
  </si>
  <si>
    <t>Gas, MMcf</t>
  </si>
  <si>
    <t>NGL Volume (MBBLs)</t>
  </si>
  <si>
    <t>NGL, Mbbl</t>
  </si>
  <si>
    <t>Total (MBoe)</t>
  </si>
  <si>
    <t>Total (MBoe/d)</t>
  </si>
  <si>
    <t>Oil Revenue</t>
  </si>
  <si>
    <t>Gas Revenue</t>
  </si>
  <si>
    <t>NGL Revenue</t>
  </si>
  <si>
    <t>Sulfur Revenue</t>
  </si>
  <si>
    <t>Midstream Revenue</t>
  </si>
  <si>
    <t>Service Revenue</t>
  </si>
  <si>
    <t>Other Revenue</t>
  </si>
  <si>
    <t>Total Revenue</t>
  </si>
  <si>
    <t>Oil Realized Price $/bbl</t>
  </si>
  <si>
    <t>Gas Realized Price, $/Mcf</t>
  </si>
  <si>
    <t>NGL Realized Price, $/bbl</t>
  </si>
  <si>
    <t>WTI</t>
  </si>
  <si>
    <t>HH</t>
  </si>
  <si>
    <t>Diffs Before</t>
  </si>
  <si>
    <t>Diffs After</t>
  </si>
  <si>
    <t>Oil Differential</t>
  </si>
  <si>
    <t>Gas Differential</t>
  </si>
  <si>
    <t>NGL Differential</t>
  </si>
  <si>
    <t>Midstream Expense</t>
  </si>
  <si>
    <t>Fuel, Electricity, &amp; Utilities</t>
  </si>
  <si>
    <t>Workover</t>
  </si>
  <si>
    <t>CO2</t>
  </si>
  <si>
    <t>Labor</t>
  </si>
  <si>
    <t>Chemicals</t>
  </si>
  <si>
    <t>Materials &amp; Supplies</t>
  </si>
  <si>
    <t>Services</t>
  </si>
  <si>
    <t>EHS, Land, Legal, &amp; Regulatory</t>
  </si>
  <si>
    <t>Repairs &amp; Maintenance</t>
  </si>
  <si>
    <t>Compression</t>
  </si>
  <si>
    <t>Insurance</t>
  </si>
  <si>
    <t>SWD</t>
  </si>
  <si>
    <t>Facilities</t>
  </si>
  <si>
    <t>Rental Equipment</t>
  </si>
  <si>
    <t>Vehicles</t>
  </si>
  <si>
    <t>Locations</t>
  </si>
  <si>
    <t>Field Office</t>
  </si>
  <si>
    <t>Transportation</t>
  </si>
  <si>
    <t>Accrued Fixed LOE</t>
  </si>
  <si>
    <t>Other</t>
  </si>
  <si>
    <t>Expenses Before</t>
  </si>
  <si>
    <t>Expenses After</t>
  </si>
  <si>
    <t>Total Operating Expenses</t>
  </si>
  <si>
    <t>LOS, M$</t>
  </si>
  <si>
    <t>PHD FM, M$</t>
  </si>
  <si>
    <t>Oil Deducts</t>
  </si>
  <si>
    <t>Diff, M$</t>
  </si>
  <si>
    <t>Gas Deducts</t>
  </si>
  <si>
    <t>Diff, %</t>
  </si>
  <si>
    <t>NGL Deducts</t>
  </si>
  <si>
    <t>Other Transportation</t>
  </si>
  <si>
    <t>Total Deducts</t>
  </si>
  <si>
    <t>Oil Severance Taxes</t>
  </si>
  <si>
    <t>Gas Severance Taxes</t>
  </si>
  <si>
    <t>NGL Severance Taxes</t>
  </si>
  <si>
    <t>Sulfur Severance Taxes</t>
  </si>
  <si>
    <t>Other Severance Taxes</t>
  </si>
  <si>
    <t>Ad Valorem Taxes</t>
  </si>
  <si>
    <t>Total Production Taxes</t>
  </si>
  <si>
    <t>Taxes Before</t>
  </si>
  <si>
    <t>Taxes After</t>
  </si>
  <si>
    <t>Tax as % of Net Rec</t>
  </si>
  <si>
    <t>As % of Net Rev</t>
  </si>
  <si>
    <t>Category</t>
  </si>
  <si>
    <t>Line Item</t>
  </si>
  <si>
    <t>Value</t>
  </si>
  <si>
    <t>Volumes</t>
  </si>
  <si>
    <t>Revenue</t>
  </si>
  <si>
    <t>Realized Price</t>
  </si>
  <si>
    <t>Oil Realized Price ($/bbl)</t>
  </si>
  <si>
    <t>Gas Realized Price ($/Mcf)</t>
  </si>
  <si>
    <t>NGL Realized Price ($/bbl)</t>
  </si>
  <si>
    <t>Benchmark</t>
  </si>
  <si>
    <t>Differential</t>
  </si>
  <si>
    <t>Operating Expense</t>
  </si>
  <si>
    <t>Deducts</t>
  </si>
  <si>
    <t>Production Tax</t>
  </si>
  <si>
    <t>Oil Volume (BBLs)</t>
  </si>
  <si>
    <t>Gas Volume (MCF)</t>
  </si>
  <si>
    <t>NGL Volume (BBLs)</t>
  </si>
  <si>
    <t>Total (Boe)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</si>
</sst>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_);_(* \(#,##0.00\);_(* \-??_);_(@_)"/>
    <numFmt numFmtId="165" formatCode="_(* #,##0_);_(* \(#,##0\);_(* \-??_);_(@_)"/>
    <numFmt numFmtId="166" formatCode="#,##0.0000;\(#,##0.0000\);\-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Dashed">
        <color rgb="FFD8D8D8"/>
      </bottom>
      <diagonal/>
    </border>
  </borders>
  <cellStyleXfs count="3">
    <xf numFmtId="0" fontId="0" fillId="0" borderId="0"/>
    <xf numFmtId="164" fontId="5" fillId="0" borderId="0"/>
    <xf numFmtId="9" fontId="5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4" fontId="1" fillId="0" borderId="0" xfId="0" applyNumberFormat="1" applyFon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64" fontId="5" fillId="0" borderId="0" xfId="1"/>
    <xf numFmtId="164" fontId="5" fillId="0" borderId="0" xfId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2" xfId="0" applyFont="1" applyBorder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9" fontId="5" fillId="0" borderId="0" xfId="2" applyAlignment="1">
      <alignment horizontal="right"/>
    </xf>
    <xf numFmtId="165" fontId="5" fillId="0" borderId="0" xfId="1" applyNumberFormat="1" applyAlignment="1">
      <alignment horizontal="right"/>
    </xf>
    <xf numFmtId="165" fontId="0" fillId="0" borderId="0" xfId="0" applyNumberFormat="1" applyAlignment="1">
      <alignment horizontal="right"/>
    </xf>
    <xf numFmtId="10" fontId="5" fillId="0" borderId="0" xfId="2" applyNumberFormat="1" applyAlignment="1">
      <alignment horizontal="right"/>
    </xf>
    <xf numFmtId="10" fontId="5" fillId="0" borderId="0" xfId="2" applyNumberFormat="1"/>
    <xf numFmtId="0" fontId="3" fillId="2" borderId="0" xfId="0" applyFont="1" applyFill="1" applyAlignment="1">
      <alignment horizontal="center"/>
    </xf>
    <xf numFmtId="14" fontId="4" fillId="0" borderId="0" xfId="0" applyNumberFormat="1" applyFont="1"/>
    <xf numFmtId="0" fontId="4" fillId="0" borderId="0" xfId="0" applyFont="1"/>
    <xf numFmtId="166" fontId="4" fillId="0" borderId="0" xfId="0" applyNumberFormat="1" applyFon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34" sqref="A34"/>
      <selection pane="bottomRight" activeCell="B9" sqref="B9:M12"/>
    </sheetView>
  </sheetViews>
  <sheetFormatPr defaultColWidth="8.7109375" defaultRowHeight="15" x14ac:dyDescent="0.25"/>
  <cols>
    <col min="1" max="1" width="28.140625" style="1" bestFit="1" customWidth="1"/>
    <col min="2" max="13" width="13.28515625" bestFit="1" customWidth="1"/>
    <col min="15" max="15" width="15.85546875" customWidth="1"/>
    <col min="16" max="18" width="11.28515625" style="2" bestFit="1" customWidth="1"/>
    <col min="19" max="19" width="8" style="2" bestFit="1" customWidth="1"/>
    <col min="22" max="22" width="15.42578125" bestFit="1" customWidth="1"/>
    <col min="23" max="25" width="7" bestFit="1" customWidth="1"/>
    <col min="26" max="26" width="8" bestFit="1" customWidth="1"/>
  </cols>
  <sheetData>
    <row r="1" spans="1:26" s="4" customFormat="1" x14ac:dyDescent="0.25">
      <c r="A1" s="3" t="s">
        <v>0</v>
      </c>
      <c r="B1" s="4">
        <v>45596</v>
      </c>
      <c r="C1" s="4">
        <v>45626</v>
      </c>
      <c r="D1" s="4">
        <v>45657</v>
      </c>
      <c r="E1" s="4">
        <v>45688</v>
      </c>
      <c r="F1" s="4">
        <v>45716</v>
      </c>
      <c r="G1" s="4">
        <v>45747</v>
      </c>
      <c r="H1" s="4">
        <v>45777</v>
      </c>
      <c r="I1" s="4">
        <v>45808</v>
      </c>
      <c r="J1" s="4">
        <v>45838</v>
      </c>
      <c r="K1" s="4">
        <v>45869</v>
      </c>
      <c r="L1" s="4">
        <v>45900</v>
      </c>
      <c r="M1" s="4">
        <v>45930</v>
      </c>
      <c r="P1" s="5"/>
      <c r="Q1" s="5"/>
      <c r="R1" s="5"/>
      <c r="S1" s="5"/>
    </row>
    <row r="2" spans="1:26" x14ac:dyDescent="0.25">
      <c r="O2" s="6" t="s">
        <v>1</v>
      </c>
      <c r="P2" s="7" t="s">
        <v>2</v>
      </c>
      <c r="Q2" s="7" t="s">
        <v>3</v>
      </c>
      <c r="R2" s="7" t="s">
        <v>4</v>
      </c>
      <c r="S2" s="7" t="s">
        <v>5</v>
      </c>
      <c r="V2" s="6" t="s">
        <v>6</v>
      </c>
      <c r="W2" s="7" t="s">
        <v>2</v>
      </c>
      <c r="X2" s="7" t="s">
        <v>3</v>
      </c>
      <c r="Y2" s="7" t="s">
        <v>4</v>
      </c>
      <c r="Z2" s="7" t="s">
        <v>5</v>
      </c>
    </row>
    <row r="3" spans="1:26" x14ac:dyDescent="0.25">
      <c r="A3" s="1" t="s">
        <v>91</v>
      </c>
      <c r="B3" s="8">
        <v>72353.847999999998</v>
      </c>
      <c r="C3" s="8">
        <v>70502.478000000003</v>
      </c>
      <c r="D3" s="8">
        <v>76291.781000000003</v>
      </c>
      <c r="E3" s="8">
        <v>70952.100999999995</v>
      </c>
      <c r="F3" s="8">
        <v>62662.083000000006</v>
      </c>
      <c r="G3" s="8">
        <v>74883.62999999999</v>
      </c>
      <c r="H3" s="8">
        <v>74829.498000000007</v>
      </c>
      <c r="I3" s="8">
        <v>76786.120999999999</v>
      </c>
      <c r="J3" s="8">
        <v>78039.753000000012</v>
      </c>
      <c r="K3" s="8">
        <v>69919.451000000001</v>
      </c>
      <c r="L3" s="8">
        <v>71142.206999999995</v>
      </c>
      <c r="M3" s="8">
        <v>76706.796999999991</v>
      </c>
      <c r="O3" t="s">
        <v>8</v>
      </c>
      <c r="P3" s="9">
        <f>AVERAGE(B3:M3)</f>
        <v>72922.479000000007</v>
      </c>
      <c r="Q3" s="10">
        <f>AVERAGE(H3:M3)</f>
        <v>74570.637833333341</v>
      </c>
      <c r="R3" s="10">
        <f>AVERAGE(K3:M3)</f>
        <v>72589.485000000001</v>
      </c>
      <c r="S3" s="2">
        <v>74.3</v>
      </c>
      <c r="V3" t="s">
        <v>8</v>
      </c>
      <c r="W3" s="9">
        <v>72.922478999999996</v>
      </c>
      <c r="X3" s="10">
        <v>74.570637833333294</v>
      </c>
      <c r="Y3" s="10">
        <v>72.589484999999996</v>
      </c>
      <c r="Z3" s="2">
        <v>74.3</v>
      </c>
    </row>
    <row r="4" spans="1:26" x14ac:dyDescent="0.25">
      <c r="A4" s="1" t="s">
        <v>92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O4" t="s">
        <v>10</v>
      </c>
      <c r="P4" s="9">
        <f>AVERAGE(B4:M4)</f>
        <v>0</v>
      </c>
      <c r="Q4" s="10">
        <f>AVERAGE(H4:M4)</f>
        <v>0</v>
      </c>
      <c r="R4" s="10">
        <f>AVERAGE(K4:M4)</f>
        <v>0</v>
      </c>
      <c r="V4" t="s">
        <v>10</v>
      </c>
      <c r="W4" s="9">
        <v>0</v>
      </c>
      <c r="X4" s="10">
        <v>0</v>
      </c>
      <c r="Y4" s="10">
        <v>0</v>
      </c>
      <c r="Z4" s="2"/>
    </row>
    <row r="5" spans="1:26" x14ac:dyDescent="0.25">
      <c r="A5" s="1" t="s">
        <v>93</v>
      </c>
      <c r="B5" s="8">
        <v>9207.9959999999992</v>
      </c>
      <c r="C5" s="8">
        <v>8723.2340000000004</v>
      </c>
      <c r="D5" s="8">
        <v>8649.8230000000003</v>
      </c>
      <c r="E5" s="8">
        <v>7846.2709999999997</v>
      </c>
      <c r="F5" s="8">
        <v>6166.1799999999994</v>
      </c>
      <c r="G5" s="8">
        <v>8340.9169999999995</v>
      </c>
      <c r="H5" s="8">
        <v>8759.5779999999995</v>
      </c>
      <c r="I5" s="8">
        <v>6530.3360000000002</v>
      </c>
      <c r="J5" s="8">
        <v>11455.539999999999</v>
      </c>
      <c r="K5" s="8">
        <v>2682.9489999999996</v>
      </c>
      <c r="L5" s="8">
        <v>9555.773000000001</v>
      </c>
      <c r="M5" s="8">
        <v>9242.44</v>
      </c>
      <c r="O5" t="s">
        <v>12</v>
      </c>
      <c r="P5" s="9">
        <f>AVERAGE(B5:M5)</f>
        <v>8096.7530833333331</v>
      </c>
      <c r="Q5" s="10">
        <f>AVERAGE(H5:M5)</f>
        <v>8037.7693333333336</v>
      </c>
      <c r="R5" s="10">
        <f>AVERAGE(K5:M5)</f>
        <v>7160.3873333333349</v>
      </c>
      <c r="S5" s="2">
        <v>4.49</v>
      </c>
      <c r="V5" t="s">
        <v>12</v>
      </c>
      <c r="W5" s="9">
        <v>8.0967530833333292</v>
      </c>
      <c r="X5" s="10">
        <v>8.0377693333333404</v>
      </c>
      <c r="Y5" s="10">
        <v>7.1603873333333299</v>
      </c>
      <c r="Z5" s="2">
        <v>4.49</v>
      </c>
    </row>
    <row r="6" spans="1:26" x14ac:dyDescent="0.25">
      <c r="A6" s="1" t="s">
        <v>94</v>
      </c>
      <c r="B6" s="8">
        <v>81561.843999999997</v>
      </c>
      <c r="C6" s="8">
        <v>79225.712</v>
      </c>
      <c r="D6" s="8">
        <v>84941.603999999992</v>
      </c>
      <c r="E6" s="8">
        <v>78798.372000000003</v>
      </c>
      <c r="F6" s="8">
        <v>68828.263000000006</v>
      </c>
      <c r="G6" s="8">
        <v>83224.547000000006</v>
      </c>
      <c r="H6" s="8">
        <v>83589.076000000001</v>
      </c>
      <c r="I6" s="8">
        <v>83316.456999999995</v>
      </c>
      <c r="J6" s="8">
        <v>89495.293000000005</v>
      </c>
      <c r="K6" s="8">
        <v>72602.400000000009</v>
      </c>
      <c r="L6" s="8">
        <v>80697.98</v>
      </c>
      <c r="M6" s="8">
        <v>85949.236999999994</v>
      </c>
      <c r="W6" s="2"/>
      <c r="X6" s="2"/>
      <c r="Y6" s="2"/>
      <c r="Z6" s="2"/>
    </row>
    <row r="7" spans="1:26" x14ac:dyDescent="0.2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W7" s="2"/>
      <c r="X7" s="2"/>
      <c r="Y7" s="2"/>
      <c r="Z7" s="2"/>
    </row>
    <row r="8" spans="1:26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W8" s="2"/>
      <c r="X8" s="2"/>
      <c r="Y8" s="2"/>
      <c r="Z8" s="2"/>
    </row>
    <row r="9" spans="1:26" x14ac:dyDescent="0.25">
      <c r="A9" s="1" t="s">
        <v>15</v>
      </c>
      <c r="B9" s="8">
        <v>4554938.09</v>
      </c>
      <c r="C9" s="8">
        <v>4410882.8499999996</v>
      </c>
      <c r="D9" s="8">
        <v>4784355.49</v>
      </c>
      <c r="E9" s="8">
        <v>4808684.1800000006</v>
      </c>
      <c r="F9" s="8">
        <v>4010354.5</v>
      </c>
      <c r="G9" s="8">
        <v>4443915.3</v>
      </c>
      <c r="H9" s="8">
        <v>4169707.0599999996</v>
      </c>
      <c r="I9" s="8">
        <v>4335379.8600000003</v>
      </c>
      <c r="J9" s="8">
        <v>4928770.3</v>
      </c>
      <c r="K9" s="8">
        <v>4424675.04</v>
      </c>
      <c r="L9" s="8">
        <v>4171704.2899999996</v>
      </c>
      <c r="M9" s="8">
        <v>4342062.49</v>
      </c>
      <c r="W9" s="2"/>
      <c r="X9" s="2"/>
      <c r="Y9" s="2"/>
      <c r="Z9" s="2"/>
    </row>
    <row r="10" spans="1:26" x14ac:dyDescent="0.25">
      <c r="A10" s="1" t="s">
        <v>16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W10" s="2"/>
      <c r="X10" s="2"/>
      <c r="Y10" s="2"/>
      <c r="Z10" s="2"/>
    </row>
    <row r="11" spans="1:26" x14ac:dyDescent="0.25">
      <c r="A11" s="1" t="s">
        <v>17</v>
      </c>
      <c r="B11" s="8">
        <v>506236.61</v>
      </c>
      <c r="C11" s="8">
        <v>486197.25</v>
      </c>
      <c r="D11" s="8">
        <v>466767.58999999997</v>
      </c>
      <c r="E11" s="8">
        <v>453514.62</v>
      </c>
      <c r="F11" s="8">
        <v>329502.50999999995</v>
      </c>
      <c r="G11" s="8">
        <v>431592.81</v>
      </c>
      <c r="H11" s="8">
        <v>423339.83</v>
      </c>
      <c r="I11" s="8">
        <v>314637.75</v>
      </c>
      <c r="J11" s="8">
        <v>543535.02</v>
      </c>
      <c r="K11" s="8">
        <v>121273.23</v>
      </c>
      <c r="L11" s="8">
        <v>456105.65</v>
      </c>
      <c r="M11" s="8">
        <v>438200.51999999996</v>
      </c>
      <c r="W11" s="2"/>
      <c r="X11" s="2"/>
      <c r="Y11" s="2"/>
      <c r="Z11" s="2"/>
    </row>
    <row r="12" spans="1:26" x14ac:dyDescent="0.25">
      <c r="A12" s="1" t="s">
        <v>18</v>
      </c>
      <c r="B12" s="8">
        <v>9309.16</v>
      </c>
      <c r="C12" s="8">
        <v>6987.7</v>
      </c>
      <c r="D12" s="8">
        <v>7014.08</v>
      </c>
      <c r="E12" s="8">
        <v>19593.219999999998</v>
      </c>
      <c r="F12" s="8">
        <v>17115.89</v>
      </c>
      <c r="G12" s="8">
        <v>15500.24</v>
      </c>
      <c r="H12" s="8">
        <v>36321.96</v>
      </c>
      <c r="I12" s="8">
        <v>41681.949999999997</v>
      </c>
      <c r="J12" s="8">
        <v>46819.6</v>
      </c>
      <c r="K12" s="8">
        <v>14178.88</v>
      </c>
      <c r="L12" s="8">
        <v>38142.1</v>
      </c>
      <c r="M12" s="8">
        <v>37737.15</v>
      </c>
      <c r="W12" s="2"/>
      <c r="X12" s="2"/>
      <c r="Y12" s="2"/>
      <c r="Z12" s="2"/>
    </row>
    <row r="13" spans="1:26" x14ac:dyDescent="0.25">
      <c r="A13" s="1" t="s">
        <v>19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W13" s="2"/>
      <c r="X13" s="2"/>
      <c r="Y13" s="2"/>
      <c r="Z13" s="2"/>
    </row>
    <row r="14" spans="1:26" x14ac:dyDescent="0.25">
      <c r="A14" s="1" t="s">
        <v>20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W14" s="2"/>
      <c r="X14" s="2"/>
      <c r="Y14" s="2"/>
      <c r="Z14" s="2"/>
    </row>
    <row r="15" spans="1:26" x14ac:dyDescent="0.25">
      <c r="A15" s="1" t="s">
        <v>21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W15" s="2"/>
      <c r="X15" s="2"/>
      <c r="Y15" s="2"/>
      <c r="Z15" s="2"/>
    </row>
    <row r="16" spans="1:26" x14ac:dyDescent="0.25">
      <c r="A16" s="1" t="s">
        <v>22</v>
      </c>
      <c r="B16" s="8">
        <v>5070483.8600000003</v>
      </c>
      <c r="C16" s="8">
        <v>4904067.8</v>
      </c>
      <c r="D16" s="8">
        <v>5258137.16</v>
      </c>
      <c r="E16" s="8">
        <v>5281792.0199999996</v>
      </c>
      <c r="F16" s="8">
        <v>4356972.8999999994</v>
      </c>
      <c r="G16" s="8">
        <v>4891008.3499999996</v>
      </c>
      <c r="H16" s="8">
        <v>4629368.8499999996</v>
      </c>
      <c r="I16" s="8">
        <v>4691699.5599999996</v>
      </c>
      <c r="J16" s="8">
        <v>5519124.9199999999</v>
      </c>
      <c r="K16" s="8">
        <v>4560127.1500000004</v>
      </c>
      <c r="L16" s="8">
        <v>4665952.04</v>
      </c>
      <c r="M16" s="8">
        <v>4818000.1599999992</v>
      </c>
      <c r="W16" s="2"/>
      <c r="X16" s="2"/>
      <c r="Y16" s="2"/>
      <c r="Z16" s="2"/>
    </row>
    <row r="17" spans="1:26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W17" s="2"/>
      <c r="X17" s="2"/>
      <c r="Y17" s="2"/>
      <c r="Z17" s="2"/>
    </row>
    <row r="18" spans="1:26" x14ac:dyDescent="0.25">
      <c r="A18" s="1" t="s">
        <v>23</v>
      </c>
      <c r="B18" s="8">
        <f>B9/B3</f>
        <v>62.95363986722586</v>
      </c>
      <c r="C18" s="8">
        <f t="shared" ref="B18:M18" si="0">C9/C3</f>
        <v>62.563515143396799</v>
      </c>
      <c r="D18" s="8">
        <f t="shared" si="0"/>
        <v>62.71128327702823</v>
      </c>
      <c r="E18" s="8">
        <f t="shared" si="0"/>
        <v>67.773668604964925</v>
      </c>
      <c r="F18" s="8">
        <f t="shared" si="0"/>
        <v>63.999699786551936</v>
      </c>
      <c r="G18" s="8">
        <f t="shared" si="0"/>
        <v>59.344282588864885</v>
      </c>
      <c r="H18" s="8">
        <f t="shared" si="0"/>
        <v>55.722772054410939</v>
      </c>
      <c r="I18" s="8">
        <f t="shared" si="0"/>
        <v>56.460461910818495</v>
      </c>
      <c r="J18" s="8">
        <f t="shared" si="0"/>
        <v>63.157174523604645</v>
      </c>
      <c r="K18" s="8">
        <f t="shared" si="0"/>
        <v>63.282462558237192</v>
      </c>
      <c r="L18" s="8">
        <f t="shared" si="0"/>
        <v>58.638949590079484</v>
      </c>
      <c r="M18" s="8">
        <f t="shared" si="0"/>
        <v>56.605967917028273</v>
      </c>
      <c r="N18" s="8"/>
      <c r="W18" s="2"/>
      <c r="X18" s="2"/>
      <c r="Y18" s="2"/>
      <c r="Z18" s="2"/>
    </row>
    <row r="19" spans="1:26" x14ac:dyDescent="0.25">
      <c r="A19" s="1" t="s">
        <v>24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W19" s="2"/>
      <c r="X19" s="2"/>
      <c r="Y19" s="2"/>
      <c r="Z19" s="2"/>
    </row>
    <row r="20" spans="1:26" x14ac:dyDescent="0.25">
      <c r="A20" s="1" t="s">
        <v>25</v>
      </c>
      <c r="B20" s="8">
        <f t="shared" ref="B20:M20" si="1">B11/B5</f>
        <v>54.977935481292569</v>
      </c>
      <c r="C20" s="8">
        <f t="shared" si="1"/>
        <v>55.735894508848439</v>
      </c>
      <c r="D20" s="8">
        <f t="shared" si="1"/>
        <v>53.962675305610297</v>
      </c>
      <c r="E20" s="8">
        <f t="shared" si="1"/>
        <v>57.800019907545895</v>
      </c>
      <c r="F20" s="8">
        <f t="shared" si="1"/>
        <v>53.437056654200816</v>
      </c>
      <c r="G20" s="8">
        <f t="shared" si="1"/>
        <v>51.744048046515751</v>
      </c>
      <c r="H20" s="8">
        <f t="shared" si="1"/>
        <v>48.328792779743502</v>
      </c>
      <c r="I20" s="8">
        <f t="shared" si="1"/>
        <v>48.180943522661003</v>
      </c>
      <c r="J20" s="8">
        <f t="shared" si="1"/>
        <v>47.447350364976252</v>
      </c>
      <c r="K20" s="8">
        <f t="shared" si="1"/>
        <v>45.201466744243</v>
      </c>
      <c r="L20" s="8">
        <f t="shared" si="1"/>
        <v>47.730900472415989</v>
      </c>
      <c r="M20" s="8">
        <f t="shared" si="1"/>
        <v>47.411778707787114</v>
      </c>
      <c r="W20" s="2"/>
      <c r="X20" s="2"/>
      <c r="Y20" s="2"/>
      <c r="Z20" s="2"/>
    </row>
    <row r="21" spans="1:26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W21" s="2"/>
      <c r="X21" s="2"/>
      <c r="Y21" s="2"/>
      <c r="Z21" s="2"/>
    </row>
    <row r="22" spans="1:26" ht="15.75" customHeight="1" x14ac:dyDescent="0.25">
      <c r="A22" s="1" t="s">
        <v>26</v>
      </c>
      <c r="B22" s="11">
        <v>71.989999999999995</v>
      </c>
      <c r="C22" s="11">
        <v>69.95</v>
      </c>
      <c r="D22" s="11">
        <v>70.12</v>
      </c>
      <c r="E22" s="11">
        <v>75.739999999999995</v>
      </c>
      <c r="F22" s="11">
        <v>71.53</v>
      </c>
      <c r="G22" s="11">
        <v>68.239999999999995</v>
      </c>
      <c r="H22" s="11">
        <v>63.54</v>
      </c>
      <c r="I22" s="11">
        <v>62.17</v>
      </c>
      <c r="J22" s="11">
        <v>68.17</v>
      </c>
      <c r="K22" s="11">
        <v>68.39</v>
      </c>
      <c r="L22" s="11">
        <v>64.86</v>
      </c>
      <c r="M22" s="11">
        <v>63.96</v>
      </c>
      <c r="W22" s="2"/>
      <c r="X22" s="2"/>
      <c r="Y22" s="2"/>
      <c r="Z22" s="2"/>
    </row>
    <row r="23" spans="1:26" ht="15.75" customHeight="1" x14ac:dyDescent="0.25">
      <c r="A23" s="1" t="s">
        <v>27</v>
      </c>
      <c r="B23" s="11">
        <v>2.2000000000000002</v>
      </c>
      <c r="C23" s="11">
        <v>2.12</v>
      </c>
      <c r="D23" s="11">
        <v>3.01</v>
      </c>
      <c r="E23" s="11">
        <v>4.13</v>
      </c>
      <c r="F23" s="11">
        <v>4.1900000000000004</v>
      </c>
      <c r="G23" s="11">
        <v>4.12</v>
      </c>
      <c r="H23" s="11">
        <v>3.42</v>
      </c>
      <c r="I23" s="11">
        <v>3.12</v>
      </c>
      <c r="J23" s="11">
        <v>3.02</v>
      </c>
      <c r="K23" s="11">
        <v>3.2</v>
      </c>
      <c r="L23" s="11">
        <v>2.91</v>
      </c>
      <c r="M23" s="11">
        <v>2.97</v>
      </c>
      <c r="N23" s="12"/>
      <c r="W23" s="2"/>
      <c r="X23" s="2"/>
      <c r="Y23" s="2"/>
      <c r="Z23" s="2"/>
    </row>
    <row r="24" spans="1:26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O24" s="6" t="s">
        <v>28</v>
      </c>
      <c r="P24" s="7" t="s">
        <v>2</v>
      </c>
      <c r="Q24" s="7" t="s">
        <v>3</v>
      </c>
      <c r="R24" s="7" t="s">
        <v>4</v>
      </c>
      <c r="S24" s="7" t="s">
        <v>5</v>
      </c>
      <c r="V24" s="6" t="s">
        <v>29</v>
      </c>
      <c r="W24" s="7" t="s">
        <v>2</v>
      </c>
      <c r="X24" s="7" t="s">
        <v>3</v>
      </c>
      <c r="Y24" s="7" t="s">
        <v>4</v>
      </c>
      <c r="Z24" s="7" t="s">
        <v>5</v>
      </c>
    </row>
    <row r="25" spans="1:26" x14ac:dyDescent="0.25">
      <c r="A25" s="1" t="s">
        <v>30</v>
      </c>
      <c r="B25" s="8">
        <f>B18-B22</f>
        <v>-9.036360132774135</v>
      </c>
      <c r="C25" s="8">
        <f t="shared" ref="B25:M25" si="2">C18-C22</f>
        <v>-7.3864848566032038</v>
      </c>
      <c r="D25" s="8">
        <f t="shared" si="2"/>
        <v>-7.408716722971775</v>
      </c>
      <c r="E25" s="8">
        <f t="shared" si="2"/>
        <v>-7.9663313950350698</v>
      </c>
      <c r="F25" s="8">
        <f t="shared" si="2"/>
        <v>-7.530300213448065</v>
      </c>
      <c r="G25" s="8">
        <f t="shared" si="2"/>
        <v>-8.8957174111351094</v>
      </c>
      <c r="H25" s="8">
        <f t="shared" si="2"/>
        <v>-7.8172279455890603</v>
      </c>
      <c r="I25" s="8">
        <f t="shared" si="2"/>
        <v>-5.7095380891815068</v>
      </c>
      <c r="J25" s="8">
        <f t="shared" si="2"/>
        <v>-5.0128254763953564</v>
      </c>
      <c r="K25" s="8">
        <f t="shared" si="2"/>
        <v>-5.1075374417628083</v>
      </c>
      <c r="L25" s="8">
        <f t="shared" si="2"/>
        <v>-6.2210504099205153</v>
      </c>
      <c r="M25" s="8">
        <f t="shared" si="2"/>
        <v>-7.3540320829717274</v>
      </c>
      <c r="O25" t="s">
        <v>30</v>
      </c>
      <c r="P25" s="9">
        <f>AVERAGE(B25:M25)</f>
        <v>-7.1205101814823601</v>
      </c>
      <c r="Q25" s="10">
        <f>AVERAGE(H25:M25)</f>
        <v>-6.2037019076368294</v>
      </c>
      <c r="R25" s="10">
        <f>AVERAGE(K25:M25)</f>
        <v>-6.22753997821835</v>
      </c>
      <c r="S25" s="10">
        <v>-6.92</v>
      </c>
      <c r="V25" t="s">
        <v>30</v>
      </c>
      <c r="W25" s="9">
        <v>-7.1205101814823601</v>
      </c>
      <c r="X25" s="10">
        <v>-6.2037019076368196</v>
      </c>
      <c r="Y25" s="10">
        <v>-6.22753997821835</v>
      </c>
      <c r="Z25" s="10">
        <v>-7.12</v>
      </c>
    </row>
    <row r="26" spans="1:26" x14ac:dyDescent="0.25">
      <c r="A26" s="1" t="s">
        <v>31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O26" t="s">
        <v>31</v>
      </c>
      <c r="P26" s="9"/>
      <c r="Q26" s="10"/>
      <c r="R26" s="10"/>
      <c r="V26" t="s">
        <v>31</v>
      </c>
      <c r="W26" s="9"/>
      <c r="X26" s="10"/>
      <c r="Y26" s="10"/>
      <c r="Z26" s="2"/>
    </row>
    <row r="27" spans="1:26" x14ac:dyDescent="0.25">
      <c r="A27" s="1" t="s">
        <v>32</v>
      </c>
      <c r="B27" s="8">
        <f t="shared" ref="B27:M27" si="3">B20/B22</f>
        <v>0.76368850508810349</v>
      </c>
      <c r="C27" s="8">
        <f t="shared" si="3"/>
        <v>0.79679620455823352</v>
      </c>
      <c r="D27" s="8">
        <f t="shared" si="3"/>
        <v>0.7695760882146363</v>
      </c>
      <c r="E27" s="8">
        <f t="shared" si="3"/>
        <v>0.76313731063567336</v>
      </c>
      <c r="F27" s="8">
        <f t="shared" si="3"/>
        <v>0.7470579708402183</v>
      </c>
      <c r="G27" s="8">
        <f t="shared" si="3"/>
        <v>0.75826565132643253</v>
      </c>
      <c r="H27" s="8">
        <f t="shared" si="3"/>
        <v>0.76060423008724432</v>
      </c>
      <c r="I27" s="8">
        <f t="shared" si="3"/>
        <v>0.77498702786972817</v>
      </c>
      <c r="J27" s="8">
        <f t="shared" si="3"/>
        <v>0.69601511463952248</v>
      </c>
      <c r="K27" s="8">
        <f t="shared" si="3"/>
        <v>0.66093678526455624</v>
      </c>
      <c r="L27" s="8">
        <f t="shared" si="3"/>
        <v>0.73590657527622561</v>
      </c>
      <c r="M27" s="8">
        <f t="shared" si="3"/>
        <v>0.74127233752012378</v>
      </c>
      <c r="O27" t="s">
        <v>32</v>
      </c>
      <c r="P27" s="13">
        <f>AVERAGE(B27:M27)</f>
        <v>0.74735365011005817</v>
      </c>
      <c r="Q27" s="13">
        <f>AVERAGE(H27:M27)</f>
        <v>0.72828701177623356</v>
      </c>
      <c r="R27" s="13">
        <f>AVERAGE(K27:M27)</f>
        <v>0.7127052326869685</v>
      </c>
      <c r="S27" s="13">
        <v>0.75</v>
      </c>
      <c r="V27" t="s">
        <v>32</v>
      </c>
      <c r="W27" s="13">
        <v>0.74735365011005805</v>
      </c>
      <c r="X27" s="13">
        <v>0.72828701177623301</v>
      </c>
      <c r="Y27" s="13">
        <v>0.71270523268696895</v>
      </c>
      <c r="Z27" s="13">
        <v>0.75</v>
      </c>
    </row>
    <row r="28" spans="1:26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W28" s="2"/>
      <c r="X28" s="2"/>
      <c r="Y28" s="2"/>
      <c r="Z28" s="2"/>
    </row>
    <row r="29" spans="1:26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W29" s="2"/>
      <c r="X29" s="2"/>
      <c r="Y29" s="2"/>
      <c r="Z29" s="2"/>
    </row>
    <row r="30" spans="1:26" x14ac:dyDescent="0.25">
      <c r="A30" s="1" t="s">
        <v>33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W30" s="2"/>
      <c r="X30" s="2"/>
      <c r="Y30" s="2"/>
      <c r="Z30" s="2"/>
    </row>
    <row r="31" spans="1:26" x14ac:dyDescent="0.25">
      <c r="A31" s="1" t="s">
        <v>34</v>
      </c>
      <c r="B31" s="8">
        <v>479.04606999999999</v>
      </c>
      <c r="C31" s="8">
        <v>510.89774</v>
      </c>
      <c r="D31" s="8">
        <v>484.76979</v>
      </c>
      <c r="E31" s="8">
        <v>474.93265000000002</v>
      </c>
      <c r="F31" s="8">
        <v>194.40062</v>
      </c>
      <c r="G31" s="8">
        <v>503.08429999999998</v>
      </c>
      <c r="H31" s="8">
        <v>456.83841999999999</v>
      </c>
      <c r="I31" s="8">
        <v>478.34714000000002</v>
      </c>
      <c r="J31" s="8">
        <v>487.82062000000002</v>
      </c>
      <c r="K31" s="8">
        <v>475.87387999999999</v>
      </c>
      <c r="L31" s="8">
        <v>495.53345999999999</v>
      </c>
      <c r="M31" s="8">
        <v>473.00349999999997</v>
      </c>
      <c r="W31" s="2"/>
      <c r="X31" s="2"/>
      <c r="Y31" s="2"/>
      <c r="Z31" s="2"/>
    </row>
    <row r="32" spans="1:26" x14ac:dyDescent="0.25">
      <c r="A32" s="1" t="s">
        <v>35</v>
      </c>
      <c r="B32" s="8">
        <v>124.44255</v>
      </c>
      <c r="C32" s="8">
        <v>132.12848</v>
      </c>
      <c r="D32" s="8">
        <v>106.23674</v>
      </c>
      <c r="E32" s="8">
        <v>187.82488000000001</v>
      </c>
      <c r="F32" s="8">
        <v>127.46456999999999</v>
      </c>
      <c r="G32" s="8">
        <v>192.66466</v>
      </c>
      <c r="H32" s="8">
        <v>123.65125999999999</v>
      </c>
      <c r="I32" s="8">
        <v>173.39350999999999</v>
      </c>
      <c r="J32" s="8">
        <v>127.41323</v>
      </c>
      <c r="K32" s="8">
        <v>217.81627</v>
      </c>
      <c r="L32" s="8">
        <v>116.16436</v>
      </c>
      <c r="M32" s="8">
        <v>68.354979999999998</v>
      </c>
      <c r="W32" s="2"/>
      <c r="X32" s="2"/>
      <c r="Y32" s="2"/>
      <c r="Z32" s="2"/>
    </row>
    <row r="33" spans="1:26" x14ac:dyDescent="0.25">
      <c r="A33" s="1" t="s">
        <v>36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W33" s="2"/>
      <c r="X33" s="2"/>
      <c r="Y33" s="2"/>
      <c r="Z33" s="2"/>
    </row>
    <row r="34" spans="1:26" x14ac:dyDescent="0.25">
      <c r="A34" s="1" t="s">
        <v>37</v>
      </c>
      <c r="B34" s="8">
        <v>198.17684</v>
      </c>
      <c r="C34" s="8">
        <v>239.55349000000001</v>
      </c>
      <c r="D34" s="8">
        <v>443.21963</v>
      </c>
      <c r="E34" s="8">
        <v>226.63096999999999</v>
      </c>
      <c r="F34" s="8">
        <v>209.50491</v>
      </c>
      <c r="G34" s="8">
        <v>220.93530000000001</v>
      </c>
      <c r="H34" s="8">
        <v>238.47800000000001</v>
      </c>
      <c r="I34" s="8">
        <v>200.17804000000001</v>
      </c>
      <c r="J34" s="8">
        <v>206.03130999999999</v>
      </c>
      <c r="K34" s="8">
        <v>204.43530000000001</v>
      </c>
      <c r="L34" s="8">
        <v>202.72730999999999</v>
      </c>
      <c r="M34" s="8">
        <v>180.19448</v>
      </c>
      <c r="W34" s="2"/>
      <c r="X34" s="2"/>
      <c r="Y34" s="2"/>
      <c r="Z34" s="2"/>
    </row>
    <row r="35" spans="1:26" x14ac:dyDescent="0.25">
      <c r="A35" s="1" t="s">
        <v>38</v>
      </c>
      <c r="B35" s="8">
        <v>77.101789999999994</v>
      </c>
      <c r="C35" s="8">
        <v>80.665130000000005</v>
      </c>
      <c r="D35" s="8">
        <v>27.738109999999999</v>
      </c>
      <c r="E35" s="8">
        <v>111.40458</v>
      </c>
      <c r="F35" s="8">
        <v>43.976849999999999</v>
      </c>
      <c r="G35" s="8">
        <v>109.96171</v>
      </c>
      <c r="H35" s="8">
        <v>66.678690000000003</v>
      </c>
      <c r="I35" s="8">
        <v>63.864069999999998</v>
      </c>
      <c r="J35" s="8">
        <v>80.493849999999995</v>
      </c>
      <c r="K35" s="8">
        <v>83.481489999999994</v>
      </c>
      <c r="L35" s="8">
        <v>78.811880000000002</v>
      </c>
      <c r="M35" s="8">
        <v>83.164500000000004</v>
      </c>
      <c r="W35" s="2"/>
      <c r="X35" s="2"/>
      <c r="Y35" s="2"/>
      <c r="Z35" s="2"/>
    </row>
    <row r="36" spans="1:26" x14ac:dyDescent="0.25">
      <c r="A36" s="1" t="s">
        <v>39</v>
      </c>
      <c r="B36" s="8">
        <v>44.646169999999998</v>
      </c>
      <c r="C36" s="8">
        <v>22.858910000000002</v>
      </c>
      <c r="D36" s="8">
        <v>14.10566</v>
      </c>
      <c r="E36" s="8">
        <v>13.205175347894601</v>
      </c>
      <c r="F36" s="8">
        <v>27.936640000000001</v>
      </c>
      <c r="G36" s="8">
        <v>21.726859999999999</v>
      </c>
      <c r="H36" s="8">
        <v>-10.15652</v>
      </c>
      <c r="I36" s="8">
        <v>47.424759999999999</v>
      </c>
      <c r="J36" s="8">
        <v>15.27895</v>
      </c>
      <c r="K36" s="8">
        <v>32.042879999999997</v>
      </c>
      <c r="L36" s="8">
        <v>9.7055199999999999</v>
      </c>
      <c r="M36" s="8">
        <v>12.342420000000001</v>
      </c>
      <c r="W36" s="2"/>
      <c r="X36" s="2"/>
      <c r="Y36" s="2"/>
      <c r="Z36" s="2"/>
    </row>
    <row r="37" spans="1:26" x14ac:dyDescent="0.25">
      <c r="A37" s="1" t="s">
        <v>40</v>
      </c>
      <c r="B37" s="8">
        <v>54.667839999999998</v>
      </c>
      <c r="C37" s="8">
        <v>27.4924</v>
      </c>
      <c r="D37" s="8">
        <v>36.415880000000001</v>
      </c>
      <c r="E37" s="8">
        <v>45.012599999999999</v>
      </c>
      <c r="F37" s="8">
        <v>36.764000000000003</v>
      </c>
      <c r="G37" s="8">
        <v>36.414499999999997</v>
      </c>
      <c r="H37" s="8">
        <v>39.77469</v>
      </c>
      <c r="I37" s="8">
        <v>48.80124</v>
      </c>
      <c r="J37" s="8">
        <v>38.770679999999999</v>
      </c>
      <c r="K37" s="8">
        <v>27.521000000000001</v>
      </c>
      <c r="L37" s="8">
        <v>34.836350000000003</v>
      </c>
      <c r="M37" s="8">
        <v>27.2012</v>
      </c>
      <c r="W37" s="2"/>
      <c r="X37" s="2"/>
      <c r="Y37" s="2"/>
      <c r="Z37" s="2"/>
    </row>
    <row r="38" spans="1:26" x14ac:dyDescent="0.25">
      <c r="A38" s="1" t="s">
        <v>41</v>
      </c>
      <c r="B38" s="8">
        <v>8.3018000000000001</v>
      </c>
      <c r="C38" s="8">
        <v>11.90457</v>
      </c>
      <c r="D38" s="8">
        <v>22.63644</v>
      </c>
      <c r="E38" s="8">
        <v>11.286429999999999</v>
      </c>
      <c r="F38" s="8">
        <v>5.6093200000000003</v>
      </c>
      <c r="G38" s="8">
        <v>11.99410034375</v>
      </c>
      <c r="H38" s="8">
        <v>5.2607900000000001</v>
      </c>
      <c r="I38" s="8">
        <v>8.5816599999999994</v>
      </c>
      <c r="J38" s="8">
        <v>22.892040000000001</v>
      </c>
      <c r="K38" s="8">
        <v>8.1492000000000004</v>
      </c>
      <c r="L38" s="8">
        <v>9.1461600000000001</v>
      </c>
      <c r="M38" s="8">
        <v>9.93018</v>
      </c>
      <c r="W38" s="2"/>
      <c r="X38" s="2"/>
      <c r="Y38" s="2"/>
      <c r="Z38" s="2"/>
    </row>
    <row r="39" spans="1:26" x14ac:dyDescent="0.25">
      <c r="A39" s="1" t="s">
        <v>42</v>
      </c>
      <c r="B39" s="8">
        <v>6.1806000000000001</v>
      </c>
      <c r="C39" s="8">
        <v>3.4136000000000002</v>
      </c>
      <c r="D39" s="8">
        <v>11.23559</v>
      </c>
      <c r="E39" s="8">
        <v>3.0917599999999998</v>
      </c>
      <c r="F39" s="8">
        <v>7.2667200000000003</v>
      </c>
      <c r="G39" s="8">
        <v>6.1478000000000002</v>
      </c>
      <c r="H39" s="8">
        <v>2.1805099999999999</v>
      </c>
      <c r="I39" s="8">
        <v>0</v>
      </c>
      <c r="J39" s="8">
        <v>6.1698700000000004</v>
      </c>
      <c r="K39" s="8">
        <v>6.5629999999999997</v>
      </c>
      <c r="L39" s="8">
        <v>3.7965800000000001</v>
      </c>
      <c r="M39" s="8">
        <v>1.9001600000000001</v>
      </c>
      <c r="W39" s="2"/>
      <c r="X39" s="2"/>
      <c r="Y39" s="2"/>
      <c r="Z39" s="2"/>
    </row>
    <row r="40" spans="1:26" x14ac:dyDescent="0.25">
      <c r="A40" s="1" t="s">
        <v>43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W40" s="2"/>
      <c r="X40" s="2"/>
      <c r="Y40" s="2"/>
      <c r="Z40" s="2"/>
    </row>
    <row r="41" spans="1:26" x14ac:dyDescent="0.25">
      <c r="A41" s="1" t="s">
        <v>44</v>
      </c>
      <c r="B41" s="8">
        <v>21.12828</v>
      </c>
      <c r="C41" s="8">
        <v>19.61458</v>
      </c>
      <c r="D41" s="8">
        <v>52.874020000000002</v>
      </c>
      <c r="E41" s="8">
        <v>38.672809999999998</v>
      </c>
      <c r="F41" s="8">
        <v>31.139330000000001</v>
      </c>
      <c r="G41" s="8">
        <v>46.603110000000001</v>
      </c>
      <c r="H41" s="8">
        <v>36.286119999999997</v>
      </c>
      <c r="I41" s="8">
        <v>29.600919999999999</v>
      </c>
      <c r="J41" s="8">
        <v>36.486829999999998</v>
      </c>
      <c r="K41" s="8">
        <v>22.337319999999998</v>
      </c>
      <c r="L41" s="8">
        <v>29.957319999999999</v>
      </c>
      <c r="M41" s="8">
        <v>24.25469</v>
      </c>
      <c r="W41" s="2"/>
      <c r="X41" s="2"/>
      <c r="Y41" s="2"/>
      <c r="Z41" s="2"/>
    </row>
    <row r="42" spans="1:26" x14ac:dyDescent="0.25">
      <c r="A42" s="1" t="s">
        <v>45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W42" s="2"/>
      <c r="X42" s="2"/>
      <c r="Y42" s="2"/>
      <c r="Z42" s="2"/>
    </row>
    <row r="43" spans="1:26" x14ac:dyDescent="0.25">
      <c r="A43" s="1" t="s">
        <v>46</v>
      </c>
      <c r="B43" s="8">
        <v>0.18475</v>
      </c>
      <c r="C43" s="8">
        <v>0.29951</v>
      </c>
      <c r="D43" s="8">
        <v>1.08992</v>
      </c>
      <c r="E43" s="8">
        <v>1.2001599999999999</v>
      </c>
      <c r="F43" s="8">
        <v>7.7827299999999999</v>
      </c>
      <c r="G43" s="8">
        <v>1.3207899999999999</v>
      </c>
      <c r="H43" s="8">
        <v>57.002029999999998</v>
      </c>
      <c r="I43" s="8">
        <v>9.7521299999999993</v>
      </c>
      <c r="J43" s="8">
        <v>0</v>
      </c>
      <c r="K43" s="8">
        <v>0.43281999999999998</v>
      </c>
      <c r="L43" s="8">
        <v>12.476509999999999</v>
      </c>
      <c r="M43" s="8">
        <v>0.57516</v>
      </c>
      <c r="W43" s="2"/>
      <c r="X43" s="2"/>
      <c r="Y43" s="2"/>
      <c r="Z43" s="2"/>
    </row>
    <row r="44" spans="1:26" x14ac:dyDescent="0.25">
      <c r="A44" s="1" t="s">
        <v>47</v>
      </c>
      <c r="B44" s="8">
        <v>4.7646300000000004</v>
      </c>
      <c r="C44" s="8">
        <v>2.8214999999999999</v>
      </c>
      <c r="D44" s="8">
        <v>2.8214999999999999</v>
      </c>
      <c r="E44" s="8">
        <v>7.9420000000000002</v>
      </c>
      <c r="F44" s="8">
        <v>6.0880000000000001</v>
      </c>
      <c r="G44" s="8">
        <v>5.1204999999999998</v>
      </c>
      <c r="H44" s="8">
        <v>4.8331200000000001</v>
      </c>
      <c r="I44" s="8">
        <v>15.4925</v>
      </c>
      <c r="J44" s="8">
        <v>14.894500000000001</v>
      </c>
      <c r="K44" s="8">
        <v>14.57328</v>
      </c>
      <c r="L44" s="8">
        <v>9.7739999999999991</v>
      </c>
      <c r="M44" s="8">
        <v>8.8335000000000008</v>
      </c>
      <c r="W44" s="2"/>
      <c r="X44" s="2"/>
      <c r="Y44" s="2"/>
      <c r="Z44" s="2"/>
    </row>
    <row r="45" spans="1:26" x14ac:dyDescent="0.25">
      <c r="A45" s="1" t="s">
        <v>48</v>
      </c>
      <c r="B45" s="8">
        <v>28.0398</v>
      </c>
      <c r="C45" s="8">
        <v>24.673819999999999</v>
      </c>
      <c r="D45" s="8">
        <v>26.528770000000002</v>
      </c>
      <c r="E45" s="8">
        <v>34.613939999999999</v>
      </c>
      <c r="F45" s="8">
        <v>37.729500000000002</v>
      </c>
      <c r="G45" s="8">
        <v>28.927669999999999</v>
      </c>
      <c r="H45" s="8">
        <v>31.977219999999999</v>
      </c>
      <c r="I45" s="8">
        <v>35.527740000000001</v>
      </c>
      <c r="J45" s="8">
        <v>32.589910000000003</v>
      </c>
      <c r="K45" s="8">
        <v>25.433949999999999</v>
      </c>
      <c r="L45" s="8">
        <v>21.826709999999999</v>
      </c>
      <c r="M45" s="8">
        <v>24.518350000000002</v>
      </c>
      <c r="W45" s="2"/>
      <c r="X45" s="2"/>
      <c r="Y45" s="2"/>
      <c r="Z45" s="2"/>
    </row>
    <row r="46" spans="1:26" x14ac:dyDescent="0.25">
      <c r="A46" s="1" t="s">
        <v>49</v>
      </c>
      <c r="B46" s="8">
        <v>16.1235</v>
      </c>
      <c r="C46" s="8">
        <v>0.51824999999999999</v>
      </c>
      <c r="D46" s="8">
        <v>0.65100000000000002</v>
      </c>
      <c r="E46" s="8">
        <v>0.39200000000000002</v>
      </c>
      <c r="F46" s="8">
        <v>0.39200000000000002</v>
      </c>
      <c r="G46" s="8">
        <v>0.39200000000000002</v>
      </c>
      <c r="H46" s="8">
        <v>1.8149999999999999</v>
      </c>
      <c r="I46" s="8">
        <v>29.076779999999999</v>
      </c>
      <c r="J46" s="8">
        <v>18.632999999999999</v>
      </c>
      <c r="K46" s="8">
        <v>37.225999999999999</v>
      </c>
      <c r="L46" s="8">
        <v>19.346</v>
      </c>
      <c r="M46" s="8">
        <v>18.821999999999999</v>
      </c>
      <c r="W46" s="2"/>
      <c r="X46" s="2"/>
      <c r="Y46" s="2"/>
      <c r="Z46" s="2"/>
    </row>
    <row r="47" spans="1:26" x14ac:dyDescent="0.25">
      <c r="A47" s="1" t="s">
        <v>50</v>
      </c>
      <c r="B47" s="8">
        <v>4.1776200000000001</v>
      </c>
      <c r="C47" s="8">
        <v>4.8170999999999999</v>
      </c>
      <c r="D47" s="8">
        <v>6.70695</v>
      </c>
      <c r="E47" s="8">
        <v>6.6060299999999996</v>
      </c>
      <c r="F47" s="8">
        <v>5.7696899999999998</v>
      </c>
      <c r="G47" s="8">
        <v>4.5281900000000004</v>
      </c>
      <c r="H47" s="8">
        <v>3.0612900000000001</v>
      </c>
      <c r="I47" s="8">
        <v>10.43684</v>
      </c>
      <c r="J47" s="8">
        <v>7.5474600000000001</v>
      </c>
      <c r="K47" s="8">
        <v>3.5304899999999999</v>
      </c>
      <c r="L47" s="8">
        <v>4.27942</v>
      </c>
      <c r="M47" s="8">
        <v>3.38219</v>
      </c>
      <c r="W47" s="2"/>
      <c r="X47" s="2"/>
      <c r="Y47" s="2"/>
      <c r="Z47" s="2"/>
    </row>
    <row r="48" spans="1:26" x14ac:dyDescent="0.25">
      <c r="A48" s="1" t="s">
        <v>51</v>
      </c>
      <c r="B48" s="8">
        <v>1.4456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1.0625</v>
      </c>
      <c r="J48" s="8">
        <v>0</v>
      </c>
      <c r="K48" s="8">
        <v>0</v>
      </c>
      <c r="L48" s="8">
        <v>0</v>
      </c>
      <c r="M48" s="8">
        <v>0</v>
      </c>
      <c r="W48" s="2"/>
      <c r="X48" s="2"/>
      <c r="Y48" s="2"/>
      <c r="Z48" s="2"/>
    </row>
    <row r="49" spans="1:26" x14ac:dyDescent="0.25">
      <c r="A49" s="1" t="s">
        <v>52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W49" s="2"/>
      <c r="X49" s="2"/>
      <c r="Y49" s="2"/>
      <c r="Z49" s="2"/>
    </row>
    <row r="50" spans="1:26" x14ac:dyDescent="0.25">
      <c r="A50" s="1" t="s">
        <v>53</v>
      </c>
      <c r="B50" s="8">
        <v>0.24851000000000001</v>
      </c>
      <c r="C50" s="8">
        <v>0</v>
      </c>
      <c r="D50" s="8">
        <v>1.8099400000000001</v>
      </c>
      <c r="E50" s="8">
        <v>0</v>
      </c>
      <c r="F50" s="8">
        <v>0</v>
      </c>
      <c r="G50" s="8">
        <v>6.3E-2</v>
      </c>
      <c r="H50" s="8">
        <v>1.1950000000000001</v>
      </c>
      <c r="I50" s="8">
        <v>0</v>
      </c>
      <c r="J50" s="8">
        <v>2.5209999999999999</v>
      </c>
      <c r="K50" s="8">
        <v>6.3E-2</v>
      </c>
      <c r="L50" s="8">
        <v>2.4940000000000002</v>
      </c>
      <c r="M50" s="8">
        <v>4.577</v>
      </c>
      <c r="O50" s="6" t="s">
        <v>54</v>
      </c>
      <c r="P50" s="7" t="s">
        <v>2</v>
      </c>
      <c r="Q50" s="7" t="s">
        <v>3</v>
      </c>
      <c r="R50" s="7" t="s">
        <v>4</v>
      </c>
      <c r="V50" s="6" t="s">
        <v>55</v>
      </c>
      <c r="W50" s="7" t="s">
        <v>2</v>
      </c>
      <c r="X50" s="7" t="s">
        <v>3</v>
      </c>
      <c r="Y50" s="7" t="s">
        <v>4</v>
      </c>
      <c r="Z50" s="2"/>
    </row>
    <row r="51" spans="1:26" x14ac:dyDescent="0.25">
      <c r="A51" s="1" t="s">
        <v>56</v>
      </c>
      <c r="B51" s="8">
        <v>1371674.5499999996</v>
      </c>
      <c r="C51" s="8">
        <v>1364803.34</v>
      </c>
      <c r="D51" s="8">
        <v>1523361.97</v>
      </c>
      <c r="E51" s="8">
        <v>1424978.245347895</v>
      </c>
      <c r="F51" s="8">
        <v>980693.20000000007</v>
      </c>
      <c r="G51" s="8">
        <v>1473889.9003437501</v>
      </c>
      <c r="H51" s="8">
        <v>1339256.3200000001</v>
      </c>
      <c r="I51" s="8">
        <v>1438702.5500000005</v>
      </c>
      <c r="J51" s="8">
        <v>1396490.93</v>
      </c>
      <c r="K51" s="8">
        <v>1332422.4100000008</v>
      </c>
      <c r="L51" s="8">
        <v>1356914.8299999998</v>
      </c>
      <c r="M51" s="8">
        <v>1228031.6399999999</v>
      </c>
      <c r="O51" t="s">
        <v>57</v>
      </c>
      <c r="P51" s="14">
        <f>AVERAGE(B51:M51)</f>
        <v>1352601.6571409705</v>
      </c>
      <c r="Q51" s="15">
        <f>AVERAGE(H51:M51)</f>
        <v>1348636.446666667</v>
      </c>
      <c r="R51" s="15">
        <f>AVERAGE(K51:M51)</f>
        <v>1305789.6266666669</v>
      </c>
      <c r="S51" s="10"/>
      <c r="V51" t="s">
        <v>57</v>
      </c>
      <c r="W51" s="14">
        <v>1352.60165714097</v>
      </c>
      <c r="X51" s="15">
        <v>1348.6364466666701</v>
      </c>
      <c r="Y51" s="15">
        <v>1305.7896266666701</v>
      </c>
      <c r="Z51" s="10"/>
    </row>
    <row r="52" spans="1:26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O52" t="s">
        <v>58</v>
      </c>
      <c r="P52" s="15">
        <v>1386.64</v>
      </c>
      <c r="Q52" s="15">
        <v>1386.64</v>
      </c>
      <c r="R52" s="15">
        <v>1386.64</v>
      </c>
      <c r="S52" s="10"/>
      <c r="V52" t="s">
        <v>58</v>
      </c>
      <c r="W52" s="15">
        <v>1386.64</v>
      </c>
      <c r="X52" s="15">
        <v>1386.64</v>
      </c>
      <c r="Y52" s="15">
        <v>1386.64</v>
      </c>
      <c r="Z52" s="10"/>
    </row>
    <row r="53" spans="1:26" x14ac:dyDescent="0.25">
      <c r="A53" s="1" t="s">
        <v>59</v>
      </c>
      <c r="B53" s="8">
        <v>56.13897</v>
      </c>
      <c r="C53" s="8">
        <v>47.485210000000002</v>
      </c>
      <c r="D53" s="8">
        <v>50.412950000000002</v>
      </c>
      <c r="E53" s="8">
        <v>44.44943</v>
      </c>
      <c r="F53" s="8">
        <v>40.461410000000001</v>
      </c>
      <c r="G53" s="8">
        <v>45.767949999999999</v>
      </c>
      <c r="H53" s="8">
        <v>48.080249999999999</v>
      </c>
      <c r="I53" s="8">
        <v>52.016249999999999</v>
      </c>
      <c r="J53" s="8">
        <v>60.898180000000004</v>
      </c>
      <c r="K53" s="8">
        <v>55.347859999999997</v>
      </c>
      <c r="L53" s="8">
        <v>44.307510000000001</v>
      </c>
      <c r="M53" s="8">
        <v>43.882480000000001</v>
      </c>
      <c r="O53" t="s">
        <v>60</v>
      </c>
      <c r="P53" s="15">
        <f>P52-P51</f>
        <v>-1351215.0171409706</v>
      </c>
      <c r="Q53" s="15">
        <f>Q52-Q51</f>
        <v>-1347249.8066666671</v>
      </c>
      <c r="R53" s="15">
        <f>R52-R51</f>
        <v>-1304402.986666667</v>
      </c>
      <c r="V53" t="s">
        <v>60</v>
      </c>
      <c r="W53" s="15">
        <v>34.038342859029903</v>
      </c>
      <c r="X53" s="15">
        <v>38.003553333333201</v>
      </c>
      <c r="Y53" s="15">
        <v>80.850373333333195</v>
      </c>
      <c r="Z53" s="2"/>
    </row>
    <row r="54" spans="1:26" x14ac:dyDescent="0.25">
      <c r="A54" s="1" t="s">
        <v>61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O54" t="s">
        <v>62</v>
      </c>
      <c r="P54" s="16">
        <f>P53/P52</f>
        <v>-974.45264606600881</v>
      </c>
      <c r="Q54" s="16">
        <f>Q53/Q52</f>
        <v>-971.59306428969808</v>
      </c>
      <c r="R54" s="16">
        <f>R53/R52</f>
        <v>-940.69332102540454</v>
      </c>
      <c r="V54" t="s">
        <v>62</v>
      </c>
      <c r="W54" s="16">
        <v>2.4547353933991399E-2</v>
      </c>
      <c r="X54" s="16">
        <v>2.7406935710302002E-2</v>
      </c>
      <c r="Y54" s="16">
        <v>5.8306678974595599E-2</v>
      </c>
      <c r="Z54" s="2"/>
    </row>
    <row r="55" spans="1:26" x14ac:dyDescent="0.25">
      <c r="A55" s="1" t="s">
        <v>63</v>
      </c>
      <c r="B55" s="8">
        <v>246.85923</v>
      </c>
      <c r="C55" s="8">
        <v>235.65905000000001</v>
      </c>
      <c r="D55" s="8">
        <v>234.10908000000001</v>
      </c>
      <c r="E55" s="8">
        <v>217.71283</v>
      </c>
      <c r="F55" s="8">
        <v>198.40691000000001</v>
      </c>
      <c r="G55" s="8">
        <v>238.23746</v>
      </c>
      <c r="H55" s="8">
        <v>232.30045000000001</v>
      </c>
      <c r="I55" s="8">
        <v>235.14646999999999</v>
      </c>
      <c r="J55" s="8">
        <v>238.04949999999999</v>
      </c>
      <c r="K55" s="8">
        <v>117.59466999999999</v>
      </c>
      <c r="L55" s="8">
        <v>261.73174</v>
      </c>
      <c r="M55" s="8">
        <v>243.09485000000001</v>
      </c>
      <c r="W55" s="2"/>
      <c r="X55" s="2"/>
      <c r="Y55" s="2"/>
      <c r="Z55" s="2"/>
    </row>
    <row r="56" spans="1:26" x14ac:dyDescent="0.25">
      <c r="A56" s="1" t="s">
        <v>64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W56" s="2"/>
      <c r="X56" s="2"/>
      <c r="Y56" s="2"/>
      <c r="Z56" s="2"/>
    </row>
    <row r="57" spans="1:26" x14ac:dyDescent="0.25">
      <c r="A57" s="1" t="s">
        <v>65</v>
      </c>
      <c r="B57" s="8">
        <v>302.9982</v>
      </c>
      <c r="C57" s="8">
        <v>283.14425999999997</v>
      </c>
      <c r="D57" s="8">
        <v>284.52202999999997</v>
      </c>
      <c r="E57" s="8">
        <v>262.16226</v>
      </c>
      <c r="F57" s="8">
        <v>238.86832000000001</v>
      </c>
      <c r="G57" s="8">
        <v>284.00540999999998</v>
      </c>
      <c r="H57" s="8">
        <v>280.38069999999999</v>
      </c>
      <c r="I57" s="8">
        <v>287.16271999999998</v>
      </c>
      <c r="J57" s="8">
        <v>298.94767999999999</v>
      </c>
      <c r="K57" s="8">
        <v>172.94253</v>
      </c>
      <c r="L57" s="8">
        <v>306.03924999999998</v>
      </c>
      <c r="M57" s="8">
        <v>286.97732999999999</v>
      </c>
      <c r="W57" s="2"/>
      <c r="X57" s="2"/>
      <c r="Y57" s="2"/>
      <c r="Z57" s="2"/>
    </row>
    <row r="58" spans="1:26" x14ac:dyDescent="0.2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W58" s="2"/>
      <c r="X58" s="2"/>
      <c r="Y58" s="2"/>
      <c r="Z58" s="2"/>
    </row>
    <row r="59" spans="1:26" x14ac:dyDescent="0.25">
      <c r="A59" s="1" t="s">
        <v>66</v>
      </c>
      <c r="B59" s="8">
        <v>489.27512999999999</v>
      </c>
      <c r="C59" s="8">
        <v>475.1635</v>
      </c>
      <c r="D59" s="8">
        <v>516.43254999999999</v>
      </c>
      <c r="E59" s="8">
        <v>518.68991000000005</v>
      </c>
      <c r="F59" s="8">
        <v>429.11415</v>
      </c>
      <c r="G59" s="8">
        <v>474.98070999999999</v>
      </c>
      <c r="H59" s="8">
        <v>444.20954999999998</v>
      </c>
      <c r="I59" s="8">
        <v>464.42827</v>
      </c>
      <c r="J59" s="8">
        <v>521.81204000000002</v>
      </c>
      <c r="K59" s="8">
        <v>473.40564000000001</v>
      </c>
      <c r="L59" s="8">
        <v>449.37630000000001</v>
      </c>
      <c r="M59" s="8">
        <v>463.13720000000001</v>
      </c>
      <c r="W59" s="2"/>
      <c r="X59" s="2"/>
      <c r="Y59" s="2"/>
      <c r="Z59" s="2"/>
    </row>
    <row r="60" spans="1:26" x14ac:dyDescent="0.25">
      <c r="A60" s="1" t="s">
        <v>67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W60" s="2"/>
      <c r="X60" s="2"/>
      <c r="Y60" s="2"/>
      <c r="Z60" s="2"/>
    </row>
    <row r="61" spans="1:26" x14ac:dyDescent="0.25">
      <c r="A61" s="1" t="s">
        <v>68</v>
      </c>
      <c r="B61" s="8">
        <v>25.78471</v>
      </c>
      <c r="C61" s="8">
        <v>23.523820000000001</v>
      </c>
      <c r="D61" s="8">
        <v>21.988969999999998</v>
      </c>
      <c r="E61" s="8">
        <v>22.522449999999999</v>
      </c>
      <c r="F61" s="8">
        <v>12.73836</v>
      </c>
      <c r="G61" s="8">
        <v>17.38259</v>
      </c>
      <c r="H61" s="8">
        <v>17.789400000000001</v>
      </c>
      <c r="I61" s="8">
        <v>7.2201199999999996</v>
      </c>
      <c r="J61" s="8">
        <v>28.542359999999999</v>
      </c>
      <c r="K61" s="8">
        <v>0.15569</v>
      </c>
      <c r="L61" s="8">
        <v>17.82225</v>
      </c>
      <c r="M61" s="8">
        <v>18.092559999999999</v>
      </c>
      <c r="W61" s="2"/>
      <c r="X61" s="2"/>
      <c r="Y61" s="2"/>
      <c r="Z61" s="2"/>
    </row>
    <row r="62" spans="1:26" x14ac:dyDescent="0.25">
      <c r="A62" s="1" t="s">
        <v>69</v>
      </c>
      <c r="B62" s="8">
        <v>0.97143000000000002</v>
      </c>
      <c r="C62" s="8">
        <v>0.69264000000000003</v>
      </c>
      <c r="D62" s="8">
        <v>0.70282999999999995</v>
      </c>
      <c r="E62" s="8">
        <v>1.9571400000000001</v>
      </c>
      <c r="F62" s="8">
        <v>1.7587600000000001</v>
      </c>
      <c r="G62" s="8">
        <v>1.4852300000000001</v>
      </c>
      <c r="H62" s="8">
        <v>3.5655700000000001</v>
      </c>
      <c r="I62" s="8">
        <v>4.1360400000000004</v>
      </c>
      <c r="J62" s="8">
        <v>4.5698999999999996</v>
      </c>
      <c r="K62" s="8">
        <v>1.3743000000000001</v>
      </c>
      <c r="L62" s="8">
        <v>3.64202</v>
      </c>
      <c r="M62" s="8">
        <v>3.6467499999999999</v>
      </c>
      <c r="W62" s="2"/>
      <c r="X62" s="2"/>
      <c r="Y62" s="2"/>
      <c r="Z62" s="2"/>
    </row>
    <row r="63" spans="1:26" x14ac:dyDescent="0.25">
      <c r="A63" s="1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W63" s="2"/>
      <c r="X63" s="2"/>
      <c r="Y63" s="2"/>
      <c r="Z63" s="2"/>
    </row>
    <row r="64" spans="1:26" x14ac:dyDescent="0.25">
      <c r="A64" s="1" t="s">
        <v>71</v>
      </c>
      <c r="B64" s="8">
        <v>0.10826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W64" s="2"/>
      <c r="X64" s="2"/>
      <c r="Y64" s="2"/>
      <c r="Z64" s="2"/>
    </row>
    <row r="65" spans="1:26" x14ac:dyDescent="0.25">
      <c r="A65" s="1" t="s">
        <v>72</v>
      </c>
      <c r="B65" s="8">
        <v>516.13953000000004</v>
      </c>
      <c r="C65" s="8">
        <v>499.37995999999998</v>
      </c>
      <c r="D65" s="8">
        <v>539.12435000000005</v>
      </c>
      <c r="E65" s="8">
        <v>543.16949999999997</v>
      </c>
      <c r="F65" s="8">
        <v>443.61126999999999</v>
      </c>
      <c r="G65" s="8">
        <v>493.84852999999998</v>
      </c>
      <c r="H65" s="8">
        <v>465.56452000000002</v>
      </c>
      <c r="I65" s="8">
        <v>475.78442999999999</v>
      </c>
      <c r="J65" s="8">
        <v>554.92430000000002</v>
      </c>
      <c r="K65" s="8">
        <v>474.93563</v>
      </c>
      <c r="L65" s="8">
        <v>470.84057000000001</v>
      </c>
      <c r="M65" s="8">
        <v>484.87651</v>
      </c>
      <c r="O65" s="6" t="s">
        <v>73</v>
      </c>
      <c r="P65" s="7" t="s">
        <v>2</v>
      </c>
      <c r="Q65" s="7" t="s">
        <v>3</v>
      </c>
      <c r="R65" s="7" t="s">
        <v>4</v>
      </c>
      <c r="S65" s="7" t="s">
        <v>5</v>
      </c>
      <c r="V65" s="6" t="s">
        <v>74</v>
      </c>
      <c r="W65" s="7" t="s">
        <v>2</v>
      </c>
      <c r="X65" s="7" t="s">
        <v>3</v>
      </c>
      <c r="Y65" s="7" t="s">
        <v>4</v>
      </c>
      <c r="Z65" s="7" t="s">
        <v>5</v>
      </c>
    </row>
    <row r="66" spans="1:26" x14ac:dyDescent="0.25">
      <c r="A66" s="1" t="s">
        <v>75</v>
      </c>
      <c r="B66" s="17">
        <f t="shared" ref="B66:M66" si="4">B65/B16</f>
        <v>1.0179295393714162E-4</v>
      </c>
      <c r="C66" s="17">
        <f t="shared" si="4"/>
        <v>1.0182974223969742E-4</v>
      </c>
      <c r="D66" s="17">
        <f t="shared" si="4"/>
        <v>1.0253143529637406E-4</v>
      </c>
      <c r="E66" s="17">
        <f t="shared" si="4"/>
        <v>1.028381083433876E-4</v>
      </c>
      <c r="F66" s="17">
        <f t="shared" si="4"/>
        <v>1.0181639412997039E-4</v>
      </c>
      <c r="G66" s="17">
        <f t="shared" si="4"/>
        <v>1.0097069860860082E-4</v>
      </c>
      <c r="H66" s="17">
        <f t="shared" si="4"/>
        <v>1.0056760113206362E-4</v>
      </c>
      <c r="I66" s="17">
        <f t="shared" si="4"/>
        <v>1.0140982471605663E-4</v>
      </c>
      <c r="J66" s="17">
        <f t="shared" si="4"/>
        <v>1.0054570390119019E-4</v>
      </c>
      <c r="K66" s="17">
        <f t="shared" si="4"/>
        <v>1.0414964635361098E-4</v>
      </c>
      <c r="L66" s="17">
        <f t="shared" si="4"/>
        <v>1.009098606165699E-4</v>
      </c>
      <c r="M66" s="17">
        <f t="shared" si="4"/>
        <v>1.0063854169735023E-4</v>
      </c>
      <c r="O66" t="s">
        <v>76</v>
      </c>
      <c r="P66" s="13">
        <f>AVERAGE(B66:M66)</f>
        <v>1.016667092476678E-4</v>
      </c>
      <c r="Q66" s="13">
        <f>AVERAGE(H66:M66)</f>
        <v>1.0137019640280693E-4</v>
      </c>
      <c r="R66" s="13">
        <f>AVERAGE(K66:M66)</f>
        <v>1.0189934955584371E-4</v>
      </c>
      <c r="S66" s="13">
        <f>277.65/(2614.66+226.21)</f>
        <v>9.773414482183275E-2</v>
      </c>
      <c r="V66" t="s">
        <v>76</v>
      </c>
      <c r="W66" s="13">
        <v>0.10166670924766801</v>
      </c>
      <c r="X66" s="13">
        <v>0.10137019640280701</v>
      </c>
      <c r="Y66" s="13">
        <v>0.101899349555844</v>
      </c>
      <c r="Z66" s="13">
        <v>9.7734144821832805E-2</v>
      </c>
    </row>
    <row r="67" spans="1:26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26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26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26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26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26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2794-249F-41B4-9E73-8D756AE3B67C}">
  <dimension ref="A1:L8"/>
  <sheetViews>
    <sheetView workbookViewId="0">
      <selection activeCell="A5" sqref="A5:L8"/>
    </sheetView>
  </sheetViews>
  <sheetFormatPr defaultRowHeight="15" x14ac:dyDescent="0.25"/>
  <cols>
    <col min="1" max="1" width="13.28515625" bestFit="1" customWidth="1"/>
  </cols>
  <sheetData>
    <row r="1" spans="1:12" x14ac:dyDescent="0.25">
      <c r="A1" s="8">
        <v>4554.9380899999996</v>
      </c>
      <c r="B1" s="8">
        <v>4410.88285</v>
      </c>
      <c r="C1" s="8">
        <v>4784.3554899999999</v>
      </c>
      <c r="D1" s="8">
        <v>4808.6841800000002</v>
      </c>
      <c r="E1" s="8">
        <v>4010.3544999999999</v>
      </c>
      <c r="F1" s="8">
        <v>4443.9152999999997</v>
      </c>
      <c r="G1" s="8">
        <v>4169.7070599999997</v>
      </c>
      <c r="H1" s="8">
        <v>4335.37986</v>
      </c>
      <c r="I1" s="8">
        <v>4928.7703000000001</v>
      </c>
      <c r="J1" s="8">
        <v>4424.6750400000001</v>
      </c>
      <c r="K1" s="8">
        <v>4171.7042899999997</v>
      </c>
      <c r="L1" s="8">
        <v>4342.0624900000003</v>
      </c>
    </row>
    <row r="2" spans="1:12" x14ac:dyDescent="0.2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</row>
    <row r="3" spans="1:12" x14ac:dyDescent="0.25">
      <c r="A3" s="8">
        <v>506.23660999999998</v>
      </c>
      <c r="B3" s="8">
        <v>486.19725</v>
      </c>
      <c r="C3" s="8">
        <v>466.76758999999998</v>
      </c>
      <c r="D3" s="8">
        <v>453.51461999999998</v>
      </c>
      <c r="E3" s="8">
        <v>329.50250999999997</v>
      </c>
      <c r="F3" s="8">
        <v>431.59280999999999</v>
      </c>
      <c r="G3" s="8">
        <v>423.33983000000001</v>
      </c>
      <c r="H3" s="8">
        <v>314.63774999999998</v>
      </c>
      <c r="I3" s="8">
        <v>543.53502000000003</v>
      </c>
      <c r="J3" s="8">
        <v>121.27323</v>
      </c>
      <c r="K3" s="8">
        <v>456.10565000000003</v>
      </c>
      <c r="L3" s="8">
        <v>438.20051999999998</v>
      </c>
    </row>
    <row r="4" spans="1:12" x14ac:dyDescent="0.25">
      <c r="A4" s="8">
        <v>9.3091600000000003</v>
      </c>
      <c r="B4" s="8">
        <v>6.9877000000000002</v>
      </c>
      <c r="C4" s="8">
        <v>7.0140799999999999</v>
      </c>
      <c r="D4" s="8">
        <v>19.593219999999999</v>
      </c>
      <c r="E4" s="8">
        <v>17.11589</v>
      </c>
      <c r="F4" s="8">
        <v>15.50024</v>
      </c>
      <c r="G4" s="8">
        <v>36.321959999999997</v>
      </c>
      <c r="H4" s="8">
        <v>41.681950000000001</v>
      </c>
      <c r="I4" s="8">
        <v>46.819600000000001</v>
      </c>
      <c r="J4" s="8">
        <v>14.178879999999999</v>
      </c>
      <c r="K4" s="8">
        <v>38.142099999999999</v>
      </c>
      <c r="L4" s="8">
        <v>37.73715</v>
      </c>
    </row>
    <row r="5" spans="1:12" x14ac:dyDescent="0.25">
      <c r="A5" s="22">
        <f>A1*1000</f>
        <v>4554938.09</v>
      </c>
      <c r="B5" s="22">
        <f t="shared" ref="B5:L5" si="0">B1*1000</f>
        <v>4410882.8499999996</v>
      </c>
      <c r="C5" s="22">
        <f t="shared" si="0"/>
        <v>4784355.49</v>
      </c>
      <c r="D5" s="22">
        <f t="shared" si="0"/>
        <v>4808684.1800000006</v>
      </c>
      <c r="E5" s="22">
        <f t="shared" si="0"/>
        <v>4010354.5</v>
      </c>
      <c r="F5" s="22">
        <f t="shared" si="0"/>
        <v>4443915.3</v>
      </c>
      <c r="G5" s="22">
        <f t="shared" si="0"/>
        <v>4169707.0599999996</v>
      </c>
      <c r="H5" s="22">
        <f t="shared" si="0"/>
        <v>4335379.8600000003</v>
      </c>
      <c r="I5" s="22">
        <f t="shared" si="0"/>
        <v>4928770.3</v>
      </c>
      <c r="J5" s="22">
        <f t="shared" si="0"/>
        <v>4424675.04</v>
      </c>
      <c r="K5" s="22">
        <f t="shared" si="0"/>
        <v>4171704.2899999996</v>
      </c>
      <c r="L5" s="22">
        <f t="shared" si="0"/>
        <v>4342062.49</v>
      </c>
    </row>
    <row r="6" spans="1:12" x14ac:dyDescent="0.25">
      <c r="A6" s="22">
        <f t="shared" ref="A6:L8" si="1">A2*1000</f>
        <v>0</v>
      </c>
      <c r="B6" s="22">
        <f t="shared" si="1"/>
        <v>0</v>
      </c>
      <c r="C6" s="22">
        <f t="shared" si="1"/>
        <v>0</v>
      </c>
      <c r="D6" s="22">
        <f t="shared" si="1"/>
        <v>0</v>
      </c>
      <c r="E6" s="22">
        <f t="shared" si="1"/>
        <v>0</v>
      </c>
      <c r="F6" s="22">
        <f t="shared" si="1"/>
        <v>0</v>
      </c>
      <c r="G6" s="22">
        <f t="shared" si="1"/>
        <v>0</v>
      </c>
      <c r="H6" s="22">
        <f t="shared" si="1"/>
        <v>0</v>
      </c>
      <c r="I6" s="22">
        <f t="shared" si="1"/>
        <v>0</v>
      </c>
      <c r="J6" s="22">
        <f t="shared" si="1"/>
        <v>0</v>
      </c>
      <c r="K6" s="22">
        <f t="shared" si="1"/>
        <v>0</v>
      </c>
      <c r="L6" s="22">
        <f t="shared" si="1"/>
        <v>0</v>
      </c>
    </row>
    <row r="7" spans="1:12" x14ac:dyDescent="0.25">
      <c r="A7" s="22">
        <f t="shared" si="1"/>
        <v>506236.61</v>
      </c>
      <c r="B7" s="22">
        <f t="shared" si="1"/>
        <v>486197.25</v>
      </c>
      <c r="C7" s="22">
        <f t="shared" si="1"/>
        <v>466767.58999999997</v>
      </c>
      <c r="D7" s="22">
        <f t="shared" si="1"/>
        <v>453514.62</v>
      </c>
      <c r="E7" s="22">
        <f t="shared" si="1"/>
        <v>329502.50999999995</v>
      </c>
      <c r="F7" s="22">
        <f t="shared" si="1"/>
        <v>431592.81</v>
      </c>
      <c r="G7" s="22">
        <f t="shared" si="1"/>
        <v>423339.83</v>
      </c>
      <c r="H7" s="22">
        <f t="shared" si="1"/>
        <v>314637.75</v>
      </c>
      <c r="I7" s="22">
        <f t="shared" si="1"/>
        <v>543535.02</v>
      </c>
      <c r="J7" s="22">
        <f t="shared" si="1"/>
        <v>121273.23</v>
      </c>
      <c r="K7" s="22">
        <f t="shared" si="1"/>
        <v>456105.65</v>
      </c>
      <c r="L7" s="22">
        <f t="shared" si="1"/>
        <v>438200.51999999996</v>
      </c>
    </row>
    <row r="8" spans="1:12" x14ac:dyDescent="0.25">
      <c r="A8" s="22">
        <f t="shared" si="1"/>
        <v>9309.16</v>
      </c>
      <c r="B8" s="22">
        <f t="shared" si="1"/>
        <v>6987.7</v>
      </c>
      <c r="C8" s="22">
        <f t="shared" si="1"/>
        <v>7014.08</v>
      </c>
      <c r="D8" s="22">
        <f t="shared" si="1"/>
        <v>19593.219999999998</v>
      </c>
      <c r="E8" s="22">
        <f t="shared" si="1"/>
        <v>17115.89</v>
      </c>
      <c r="F8" s="22">
        <f t="shared" si="1"/>
        <v>15500.24</v>
      </c>
      <c r="G8" s="22">
        <f t="shared" si="1"/>
        <v>36321.96</v>
      </c>
      <c r="H8" s="22">
        <f t="shared" si="1"/>
        <v>41681.949999999997</v>
      </c>
      <c r="I8" s="22">
        <f t="shared" si="1"/>
        <v>46819.6</v>
      </c>
      <c r="J8" s="22">
        <f t="shared" si="1"/>
        <v>14178.88</v>
      </c>
      <c r="K8" s="22">
        <f t="shared" si="1"/>
        <v>38142.1</v>
      </c>
      <c r="L8" s="22">
        <f t="shared" si="1"/>
        <v>37737.15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661"/>
  <sheetViews>
    <sheetView zoomScaleNormal="100" workbookViewId="0">
      <pane ySplit="1" topLeftCell="A2" activePane="bottomLeft" state="frozen"/>
      <selection pane="bottomLeft" activeCell="A8" sqref="A8"/>
    </sheetView>
  </sheetViews>
  <sheetFormatPr defaultColWidth="8.7109375" defaultRowHeight="15" x14ac:dyDescent="0.25"/>
  <cols>
    <col min="1" max="1" width="12" customWidth="1"/>
    <col min="2" max="2" width="20" customWidth="1"/>
    <col min="3" max="3" width="35" customWidth="1"/>
    <col min="4" max="4" width="18" customWidth="1"/>
  </cols>
  <sheetData>
    <row r="1" spans="1:4" x14ac:dyDescent="0.25">
      <c r="A1" s="18" t="s">
        <v>0</v>
      </c>
      <c r="B1" s="18" t="s">
        <v>77</v>
      </c>
      <c r="C1" s="18" t="s">
        <v>78</v>
      </c>
      <c r="D1" s="18" t="s">
        <v>79</v>
      </c>
    </row>
    <row r="2" spans="1:4" hidden="1" x14ac:dyDescent="0.25">
      <c r="A2" s="19">
        <f>SE!B$1</f>
        <v>45596</v>
      </c>
      <c r="B2" s="20" t="s">
        <v>80</v>
      </c>
      <c r="C2" s="20" t="s">
        <v>7</v>
      </c>
      <c r="D2" s="21">
        <f>SE!B3</f>
        <v>72353.847999999998</v>
      </c>
    </row>
    <row r="3" spans="1:4" hidden="1" x14ac:dyDescent="0.25">
      <c r="A3" s="19">
        <f>SE!C$1</f>
        <v>45626</v>
      </c>
      <c r="B3" s="20" t="s">
        <v>80</v>
      </c>
      <c r="C3" s="20" t="s">
        <v>7</v>
      </c>
      <c r="D3" s="21">
        <f>SE!C3</f>
        <v>70502.478000000003</v>
      </c>
    </row>
    <row r="4" spans="1:4" hidden="1" x14ac:dyDescent="0.25">
      <c r="A4" s="19">
        <f>SE!D$1</f>
        <v>45657</v>
      </c>
      <c r="B4" s="20" t="s">
        <v>80</v>
      </c>
      <c r="C4" s="20" t="s">
        <v>7</v>
      </c>
      <c r="D4" s="21">
        <f>SE!D3</f>
        <v>76291.781000000003</v>
      </c>
    </row>
    <row r="5" spans="1:4" hidden="1" x14ac:dyDescent="0.25">
      <c r="A5" s="19">
        <f>SE!E$1</f>
        <v>45688</v>
      </c>
      <c r="B5" s="20" t="s">
        <v>80</v>
      </c>
      <c r="C5" s="20" t="s">
        <v>7</v>
      </c>
      <c r="D5" s="21">
        <f>SE!E3</f>
        <v>70952.100999999995</v>
      </c>
    </row>
    <row r="6" spans="1:4" hidden="1" x14ac:dyDescent="0.25">
      <c r="A6" s="19">
        <f>SE!F$1</f>
        <v>45716</v>
      </c>
      <c r="B6" s="20" t="s">
        <v>80</v>
      </c>
      <c r="C6" s="20" t="s">
        <v>7</v>
      </c>
      <c r="D6" s="21">
        <f>SE!F3</f>
        <v>62662.083000000006</v>
      </c>
    </row>
    <row r="7" spans="1:4" hidden="1" x14ac:dyDescent="0.25">
      <c r="A7" s="19">
        <f>SE!G$1</f>
        <v>45747</v>
      </c>
      <c r="B7" s="20" t="s">
        <v>80</v>
      </c>
      <c r="C7" s="20" t="s">
        <v>7</v>
      </c>
      <c r="D7" s="21">
        <f>SE!G3</f>
        <v>74883.62999999999</v>
      </c>
    </row>
    <row r="8" spans="1:4" hidden="1" x14ac:dyDescent="0.25">
      <c r="A8" s="19">
        <f>SE!H$1</f>
        <v>45777</v>
      </c>
      <c r="B8" s="20" t="s">
        <v>80</v>
      </c>
      <c r="C8" s="20" t="s">
        <v>7</v>
      </c>
      <c r="D8" s="21">
        <f>SE!H3</f>
        <v>74829.498000000007</v>
      </c>
    </row>
    <row r="9" spans="1:4" hidden="1" x14ac:dyDescent="0.25">
      <c r="A9" s="19">
        <f>SE!I$1</f>
        <v>45808</v>
      </c>
      <c r="B9" s="20" t="s">
        <v>80</v>
      </c>
      <c r="C9" s="20" t="s">
        <v>7</v>
      </c>
      <c r="D9" s="21">
        <f>SE!I3</f>
        <v>76786.120999999999</v>
      </c>
    </row>
    <row r="10" spans="1:4" hidden="1" x14ac:dyDescent="0.25">
      <c r="A10" s="19">
        <f>SE!J$1</f>
        <v>45838</v>
      </c>
      <c r="B10" s="20" t="s">
        <v>80</v>
      </c>
      <c r="C10" s="20" t="s">
        <v>7</v>
      </c>
      <c r="D10" s="21">
        <f>SE!J3</f>
        <v>78039.753000000012</v>
      </c>
    </row>
    <row r="11" spans="1:4" hidden="1" x14ac:dyDescent="0.25">
      <c r="A11" s="19">
        <f>SE!K$1</f>
        <v>45869</v>
      </c>
      <c r="B11" s="20" t="s">
        <v>80</v>
      </c>
      <c r="C11" s="20" t="s">
        <v>7</v>
      </c>
      <c r="D11" s="21">
        <f>SE!K3</f>
        <v>69919.451000000001</v>
      </c>
    </row>
    <row r="12" spans="1:4" hidden="1" x14ac:dyDescent="0.25">
      <c r="A12" s="19">
        <f>SE!L$1</f>
        <v>45900</v>
      </c>
      <c r="B12" s="20" t="s">
        <v>80</v>
      </c>
      <c r="C12" s="20" t="s">
        <v>7</v>
      </c>
      <c r="D12" s="21">
        <f>SE!L3</f>
        <v>71142.206999999995</v>
      </c>
    </row>
    <row r="13" spans="1:4" hidden="1" x14ac:dyDescent="0.25">
      <c r="A13" s="19">
        <f>SE!M$1</f>
        <v>45930</v>
      </c>
      <c r="B13" s="20" t="s">
        <v>80</v>
      </c>
      <c r="C13" s="20" t="s">
        <v>7</v>
      </c>
      <c r="D13" s="21">
        <f>SE!M3</f>
        <v>76706.796999999991</v>
      </c>
    </row>
    <row r="14" spans="1:4" hidden="1" x14ac:dyDescent="0.25">
      <c r="A14" s="19">
        <f>SE!B$1</f>
        <v>45596</v>
      </c>
      <c r="B14" s="20" t="s">
        <v>80</v>
      </c>
      <c r="C14" s="20" t="s">
        <v>9</v>
      </c>
      <c r="D14" s="21">
        <f>SE!B4</f>
        <v>0</v>
      </c>
    </row>
    <row r="15" spans="1:4" hidden="1" x14ac:dyDescent="0.25">
      <c r="A15" s="19">
        <f>SE!C$1</f>
        <v>45626</v>
      </c>
      <c r="B15" s="20" t="s">
        <v>80</v>
      </c>
      <c r="C15" s="20" t="s">
        <v>9</v>
      </c>
      <c r="D15" s="21">
        <f>SE!C4</f>
        <v>0</v>
      </c>
    </row>
    <row r="16" spans="1:4" hidden="1" x14ac:dyDescent="0.25">
      <c r="A16" s="19">
        <f>SE!D$1</f>
        <v>45657</v>
      </c>
      <c r="B16" s="20" t="s">
        <v>80</v>
      </c>
      <c r="C16" s="20" t="s">
        <v>9</v>
      </c>
      <c r="D16" s="21">
        <f>SE!D4</f>
        <v>0</v>
      </c>
    </row>
    <row r="17" spans="1:4" hidden="1" x14ac:dyDescent="0.25">
      <c r="A17" s="19">
        <f>SE!E$1</f>
        <v>45688</v>
      </c>
      <c r="B17" s="20" t="s">
        <v>80</v>
      </c>
      <c r="C17" s="20" t="s">
        <v>9</v>
      </c>
      <c r="D17" s="21">
        <f>SE!E4</f>
        <v>0</v>
      </c>
    </row>
    <row r="18" spans="1:4" hidden="1" x14ac:dyDescent="0.25">
      <c r="A18" s="19">
        <f>SE!F$1</f>
        <v>45716</v>
      </c>
      <c r="B18" s="20" t="s">
        <v>80</v>
      </c>
      <c r="C18" s="20" t="s">
        <v>9</v>
      </c>
      <c r="D18" s="21">
        <f>SE!F4</f>
        <v>0</v>
      </c>
    </row>
    <row r="19" spans="1:4" hidden="1" x14ac:dyDescent="0.25">
      <c r="A19" s="19">
        <f>SE!G$1</f>
        <v>45747</v>
      </c>
      <c r="B19" s="20" t="s">
        <v>80</v>
      </c>
      <c r="C19" s="20" t="s">
        <v>9</v>
      </c>
      <c r="D19" s="21">
        <f>SE!G4</f>
        <v>0</v>
      </c>
    </row>
    <row r="20" spans="1:4" hidden="1" x14ac:dyDescent="0.25">
      <c r="A20" s="19">
        <f>SE!H$1</f>
        <v>45777</v>
      </c>
      <c r="B20" s="20" t="s">
        <v>80</v>
      </c>
      <c r="C20" s="20" t="s">
        <v>9</v>
      </c>
      <c r="D20" s="21">
        <f>SE!H4</f>
        <v>0</v>
      </c>
    </row>
    <row r="21" spans="1:4" hidden="1" x14ac:dyDescent="0.25">
      <c r="A21" s="19">
        <f>SE!I$1</f>
        <v>45808</v>
      </c>
      <c r="B21" s="20" t="s">
        <v>80</v>
      </c>
      <c r="C21" s="20" t="s">
        <v>9</v>
      </c>
      <c r="D21" s="21">
        <f>SE!I4</f>
        <v>0</v>
      </c>
    </row>
    <row r="22" spans="1:4" hidden="1" x14ac:dyDescent="0.25">
      <c r="A22" s="19">
        <f>SE!J$1</f>
        <v>45838</v>
      </c>
      <c r="B22" s="20" t="s">
        <v>80</v>
      </c>
      <c r="C22" s="20" t="s">
        <v>9</v>
      </c>
      <c r="D22" s="21">
        <f>SE!J4</f>
        <v>0</v>
      </c>
    </row>
    <row r="23" spans="1:4" hidden="1" x14ac:dyDescent="0.25">
      <c r="A23" s="19">
        <f>SE!K$1</f>
        <v>45869</v>
      </c>
      <c r="B23" s="20" t="s">
        <v>80</v>
      </c>
      <c r="C23" s="20" t="s">
        <v>9</v>
      </c>
      <c r="D23" s="21">
        <f>SE!K4</f>
        <v>0</v>
      </c>
    </row>
    <row r="24" spans="1:4" hidden="1" x14ac:dyDescent="0.25">
      <c r="A24" s="19">
        <f>SE!L$1</f>
        <v>45900</v>
      </c>
      <c r="B24" s="20" t="s">
        <v>80</v>
      </c>
      <c r="C24" s="20" t="s">
        <v>9</v>
      </c>
      <c r="D24" s="21">
        <f>SE!L4</f>
        <v>0</v>
      </c>
    </row>
    <row r="25" spans="1:4" hidden="1" x14ac:dyDescent="0.25">
      <c r="A25" s="19">
        <f>SE!M$1</f>
        <v>45930</v>
      </c>
      <c r="B25" s="20" t="s">
        <v>80</v>
      </c>
      <c r="C25" s="20" t="s">
        <v>9</v>
      </c>
      <c r="D25" s="21">
        <f>SE!M4</f>
        <v>0</v>
      </c>
    </row>
    <row r="26" spans="1:4" hidden="1" x14ac:dyDescent="0.25">
      <c r="A26" s="19">
        <f>SE!B$1</f>
        <v>45596</v>
      </c>
      <c r="B26" s="20" t="s">
        <v>80</v>
      </c>
      <c r="C26" s="20" t="s">
        <v>11</v>
      </c>
      <c r="D26" s="21">
        <f>SE!B5</f>
        <v>9207.9959999999992</v>
      </c>
    </row>
    <row r="27" spans="1:4" hidden="1" x14ac:dyDescent="0.25">
      <c r="A27" s="19">
        <f>SE!C$1</f>
        <v>45626</v>
      </c>
      <c r="B27" s="20" t="s">
        <v>80</v>
      </c>
      <c r="C27" s="20" t="s">
        <v>11</v>
      </c>
      <c r="D27" s="21">
        <f>SE!C5</f>
        <v>8723.2340000000004</v>
      </c>
    </row>
    <row r="28" spans="1:4" hidden="1" x14ac:dyDescent="0.25">
      <c r="A28" s="19">
        <f>SE!D$1</f>
        <v>45657</v>
      </c>
      <c r="B28" s="20" t="s">
        <v>80</v>
      </c>
      <c r="C28" s="20" t="s">
        <v>11</v>
      </c>
      <c r="D28" s="21">
        <f>SE!D5</f>
        <v>8649.8230000000003</v>
      </c>
    </row>
    <row r="29" spans="1:4" hidden="1" x14ac:dyDescent="0.25">
      <c r="A29" s="19">
        <f>SE!E$1</f>
        <v>45688</v>
      </c>
      <c r="B29" s="20" t="s">
        <v>80</v>
      </c>
      <c r="C29" s="20" t="s">
        <v>11</v>
      </c>
      <c r="D29" s="21">
        <f>SE!E5</f>
        <v>7846.2709999999997</v>
      </c>
    </row>
    <row r="30" spans="1:4" hidden="1" x14ac:dyDescent="0.25">
      <c r="A30" s="19">
        <f>SE!F$1</f>
        <v>45716</v>
      </c>
      <c r="B30" s="20" t="s">
        <v>80</v>
      </c>
      <c r="C30" s="20" t="s">
        <v>11</v>
      </c>
      <c r="D30" s="21">
        <f>SE!F5</f>
        <v>6166.1799999999994</v>
      </c>
    </row>
    <row r="31" spans="1:4" hidden="1" x14ac:dyDescent="0.25">
      <c r="A31" s="19">
        <f>SE!G$1</f>
        <v>45747</v>
      </c>
      <c r="B31" s="20" t="s">
        <v>80</v>
      </c>
      <c r="C31" s="20" t="s">
        <v>11</v>
      </c>
      <c r="D31" s="21">
        <f>SE!G5</f>
        <v>8340.9169999999995</v>
      </c>
    </row>
    <row r="32" spans="1:4" hidden="1" x14ac:dyDescent="0.25">
      <c r="A32" s="19">
        <f>SE!H$1</f>
        <v>45777</v>
      </c>
      <c r="B32" s="20" t="s">
        <v>80</v>
      </c>
      <c r="C32" s="20" t="s">
        <v>11</v>
      </c>
      <c r="D32" s="21">
        <f>SE!H5</f>
        <v>8759.5779999999995</v>
      </c>
    </row>
    <row r="33" spans="1:4" hidden="1" x14ac:dyDescent="0.25">
      <c r="A33" s="19">
        <f>SE!I$1</f>
        <v>45808</v>
      </c>
      <c r="B33" s="20" t="s">
        <v>80</v>
      </c>
      <c r="C33" s="20" t="s">
        <v>11</v>
      </c>
      <c r="D33" s="21">
        <f>SE!I5</f>
        <v>6530.3360000000002</v>
      </c>
    </row>
    <row r="34" spans="1:4" hidden="1" x14ac:dyDescent="0.25">
      <c r="A34" s="19">
        <f>SE!J$1</f>
        <v>45838</v>
      </c>
      <c r="B34" s="20" t="s">
        <v>80</v>
      </c>
      <c r="C34" s="20" t="s">
        <v>11</v>
      </c>
      <c r="D34" s="21">
        <f>SE!J5</f>
        <v>11455.539999999999</v>
      </c>
    </row>
    <row r="35" spans="1:4" hidden="1" x14ac:dyDescent="0.25">
      <c r="A35" s="19">
        <f>SE!K$1</f>
        <v>45869</v>
      </c>
      <c r="B35" s="20" t="s">
        <v>80</v>
      </c>
      <c r="C35" s="20" t="s">
        <v>11</v>
      </c>
      <c r="D35" s="21">
        <f>SE!K5</f>
        <v>2682.9489999999996</v>
      </c>
    </row>
    <row r="36" spans="1:4" hidden="1" x14ac:dyDescent="0.25">
      <c r="A36" s="19">
        <f>SE!L$1</f>
        <v>45900</v>
      </c>
      <c r="B36" s="20" t="s">
        <v>80</v>
      </c>
      <c r="C36" s="20" t="s">
        <v>11</v>
      </c>
      <c r="D36" s="21">
        <f>SE!L5</f>
        <v>9555.773000000001</v>
      </c>
    </row>
    <row r="37" spans="1:4" hidden="1" x14ac:dyDescent="0.25">
      <c r="A37" s="19">
        <f>SE!M$1</f>
        <v>45930</v>
      </c>
      <c r="B37" s="20" t="s">
        <v>80</v>
      </c>
      <c r="C37" s="20" t="s">
        <v>11</v>
      </c>
      <c r="D37" s="21">
        <f>SE!M5</f>
        <v>9242.44</v>
      </c>
    </row>
    <row r="38" spans="1:4" hidden="1" x14ac:dyDescent="0.25">
      <c r="A38" s="19">
        <f>SE!B$1</f>
        <v>45596</v>
      </c>
      <c r="B38" s="20" t="s">
        <v>80</v>
      </c>
      <c r="C38" s="20" t="s">
        <v>13</v>
      </c>
      <c r="D38" s="21">
        <f>SE!B6</f>
        <v>81561.843999999997</v>
      </c>
    </row>
    <row r="39" spans="1:4" hidden="1" x14ac:dyDescent="0.25">
      <c r="A39" s="19">
        <f>SE!C$1</f>
        <v>45626</v>
      </c>
      <c r="B39" s="20" t="s">
        <v>80</v>
      </c>
      <c r="C39" s="20" t="s">
        <v>13</v>
      </c>
      <c r="D39" s="21">
        <f>SE!C6</f>
        <v>79225.712</v>
      </c>
    </row>
    <row r="40" spans="1:4" hidden="1" x14ac:dyDescent="0.25">
      <c r="A40" s="19">
        <f>SE!D$1</f>
        <v>45657</v>
      </c>
      <c r="B40" s="20" t="s">
        <v>80</v>
      </c>
      <c r="C40" s="20" t="s">
        <v>13</v>
      </c>
      <c r="D40" s="21">
        <f>SE!D6</f>
        <v>84941.603999999992</v>
      </c>
    </row>
    <row r="41" spans="1:4" hidden="1" x14ac:dyDescent="0.25">
      <c r="A41" s="19">
        <f>SE!E$1</f>
        <v>45688</v>
      </c>
      <c r="B41" s="20" t="s">
        <v>80</v>
      </c>
      <c r="C41" s="20" t="s">
        <v>13</v>
      </c>
      <c r="D41" s="21">
        <f>SE!E6</f>
        <v>78798.372000000003</v>
      </c>
    </row>
    <row r="42" spans="1:4" hidden="1" x14ac:dyDescent="0.25">
      <c r="A42" s="19">
        <f>SE!F$1</f>
        <v>45716</v>
      </c>
      <c r="B42" s="20" t="s">
        <v>80</v>
      </c>
      <c r="C42" s="20" t="s">
        <v>13</v>
      </c>
      <c r="D42" s="21">
        <f>SE!F6</f>
        <v>68828.263000000006</v>
      </c>
    </row>
    <row r="43" spans="1:4" hidden="1" x14ac:dyDescent="0.25">
      <c r="A43" s="19">
        <f>SE!G$1</f>
        <v>45747</v>
      </c>
      <c r="B43" s="20" t="s">
        <v>80</v>
      </c>
      <c r="C43" s="20" t="s">
        <v>13</v>
      </c>
      <c r="D43" s="21">
        <f>SE!G6</f>
        <v>83224.547000000006</v>
      </c>
    </row>
    <row r="44" spans="1:4" hidden="1" x14ac:dyDescent="0.25">
      <c r="A44" s="19">
        <f>SE!H$1</f>
        <v>45777</v>
      </c>
      <c r="B44" s="20" t="s">
        <v>80</v>
      </c>
      <c r="C44" s="20" t="s">
        <v>13</v>
      </c>
      <c r="D44" s="21">
        <f>SE!H6</f>
        <v>83589.076000000001</v>
      </c>
    </row>
    <row r="45" spans="1:4" hidden="1" x14ac:dyDescent="0.25">
      <c r="A45" s="19">
        <f>SE!I$1</f>
        <v>45808</v>
      </c>
      <c r="B45" s="20" t="s">
        <v>80</v>
      </c>
      <c r="C45" s="20" t="s">
        <v>13</v>
      </c>
      <c r="D45" s="21">
        <f>SE!I6</f>
        <v>83316.456999999995</v>
      </c>
    </row>
    <row r="46" spans="1:4" hidden="1" x14ac:dyDescent="0.25">
      <c r="A46" s="19">
        <f>SE!J$1</f>
        <v>45838</v>
      </c>
      <c r="B46" s="20" t="s">
        <v>80</v>
      </c>
      <c r="C46" s="20" t="s">
        <v>13</v>
      </c>
      <c r="D46" s="21">
        <f>SE!J6</f>
        <v>89495.293000000005</v>
      </c>
    </row>
    <row r="47" spans="1:4" hidden="1" x14ac:dyDescent="0.25">
      <c r="A47" s="19">
        <f>SE!K$1</f>
        <v>45869</v>
      </c>
      <c r="B47" s="20" t="s">
        <v>80</v>
      </c>
      <c r="C47" s="20" t="s">
        <v>13</v>
      </c>
      <c r="D47" s="21">
        <f>SE!K6</f>
        <v>72602.400000000009</v>
      </c>
    </row>
    <row r="48" spans="1:4" hidden="1" x14ac:dyDescent="0.25">
      <c r="A48" s="19">
        <f>SE!L$1</f>
        <v>45900</v>
      </c>
      <c r="B48" s="20" t="s">
        <v>80</v>
      </c>
      <c r="C48" s="20" t="s">
        <v>13</v>
      </c>
      <c r="D48" s="21">
        <f>SE!L6</f>
        <v>80697.98</v>
      </c>
    </row>
    <row r="49" spans="1:4" hidden="1" x14ac:dyDescent="0.25">
      <c r="A49" s="19">
        <f>SE!M$1</f>
        <v>45930</v>
      </c>
      <c r="B49" s="20" t="s">
        <v>80</v>
      </c>
      <c r="C49" s="20" t="s">
        <v>13</v>
      </c>
      <c r="D49" s="21">
        <f>SE!M6</f>
        <v>85949.236999999994</v>
      </c>
    </row>
    <row r="50" spans="1:4" hidden="1" x14ac:dyDescent="0.25">
      <c r="A50" s="19">
        <f>SE!B$1</f>
        <v>45596</v>
      </c>
      <c r="B50" s="20" t="s">
        <v>80</v>
      </c>
      <c r="C50" s="20" t="s">
        <v>14</v>
      </c>
      <c r="D50" s="21">
        <f>SE!B7</f>
        <v>0</v>
      </c>
    </row>
    <row r="51" spans="1:4" hidden="1" x14ac:dyDescent="0.25">
      <c r="A51" s="19">
        <f>SE!C$1</f>
        <v>45626</v>
      </c>
      <c r="B51" s="20" t="s">
        <v>80</v>
      </c>
      <c r="C51" s="20" t="s">
        <v>14</v>
      </c>
      <c r="D51" s="21">
        <f>SE!C7</f>
        <v>0</v>
      </c>
    </row>
    <row r="52" spans="1:4" hidden="1" x14ac:dyDescent="0.25">
      <c r="A52" s="19">
        <f>SE!D$1</f>
        <v>45657</v>
      </c>
      <c r="B52" s="20" t="s">
        <v>80</v>
      </c>
      <c r="C52" s="20" t="s">
        <v>14</v>
      </c>
      <c r="D52" s="21">
        <f>SE!D7</f>
        <v>0</v>
      </c>
    </row>
    <row r="53" spans="1:4" hidden="1" x14ac:dyDescent="0.25">
      <c r="A53" s="19">
        <f>SE!E$1</f>
        <v>45688</v>
      </c>
      <c r="B53" s="20" t="s">
        <v>80</v>
      </c>
      <c r="C53" s="20" t="s">
        <v>14</v>
      </c>
      <c r="D53" s="21">
        <f>SE!E7</f>
        <v>0</v>
      </c>
    </row>
    <row r="54" spans="1:4" hidden="1" x14ac:dyDescent="0.25">
      <c r="A54" s="19">
        <f>SE!F$1</f>
        <v>45716</v>
      </c>
      <c r="B54" s="20" t="s">
        <v>80</v>
      </c>
      <c r="C54" s="20" t="s">
        <v>14</v>
      </c>
      <c r="D54" s="21">
        <f>SE!F7</f>
        <v>0</v>
      </c>
    </row>
    <row r="55" spans="1:4" hidden="1" x14ac:dyDescent="0.25">
      <c r="A55" s="19">
        <f>SE!G$1</f>
        <v>45747</v>
      </c>
      <c r="B55" s="20" t="s">
        <v>80</v>
      </c>
      <c r="C55" s="20" t="s">
        <v>14</v>
      </c>
      <c r="D55" s="21">
        <f>SE!G7</f>
        <v>0</v>
      </c>
    </row>
    <row r="56" spans="1:4" hidden="1" x14ac:dyDescent="0.25">
      <c r="A56" s="19">
        <f>SE!H$1</f>
        <v>45777</v>
      </c>
      <c r="B56" s="20" t="s">
        <v>80</v>
      </c>
      <c r="C56" s="20" t="s">
        <v>14</v>
      </c>
      <c r="D56" s="21">
        <f>SE!H7</f>
        <v>0</v>
      </c>
    </row>
    <row r="57" spans="1:4" hidden="1" x14ac:dyDescent="0.25">
      <c r="A57" s="19">
        <f>SE!I$1</f>
        <v>45808</v>
      </c>
      <c r="B57" s="20" t="s">
        <v>80</v>
      </c>
      <c r="C57" s="20" t="s">
        <v>14</v>
      </c>
      <c r="D57" s="21">
        <f>SE!I7</f>
        <v>0</v>
      </c>
    </row>
    <row r="58" spans="1:4" hidden="1" x14ac:dyDescent="0.25">
      <c r="A58" s="19">
        <f>SE!J$1</f>
        <v>45838</v>
      </c>
      <c r="B58" s="20" t="s">
        <v>80</v>
      </c>
      <c r="C58" s="20" t="s">
        <v>14</v>
      </c>
      <c r="D58" s="21">
        <f>SE!J7</f>
        <v>0</v>
      </c>
    </row>
    <row r="59" spans="1:4" hidden="1" x14ac:dyDescent="0.25">
      <c r="A59" s="19">
        <f>SE!K$1</f>
        <v>45869</v>
      </c>
      <c r="B59" s="20" t="s">
        <v>80</v>
      </c>
      <c r="C59" s="20" t="s">
        <v>14</v>
      </c>
      <c r="D59" s="21">
        <f>SE!K7</f>
        <v>0</v>
      </c>
    </row>
    <row r="60" spans="1:4" hidden="1" x14ac:dyDescent="0.25">
      <c r="A60" s="19">
        <f>SE!L$1</f>
        <v>45900</v>
      </c>
      <c r="B60" s="20" t="s">
        <v>80</v>
      </c>
      <c r="C60" s="20" t="s">
        <v>14</v>
      </c>
      <c r="D60" s="21">
        <f>SE!L7</f>
        <v>0</v>
      </c>
    </row>
    <row r="61" spans="1:4" hidden="1" x14ac:dyDescent="0.25">
      <c r="A61" s="19">
        <f>SE!M$1</f>
        <v>45930</v>
      </c>
      <c r="B61" s="20" t="s">
        <v>80</v>
      </c>
      <c r="C61" s="20" t="s">
        <v>14</v>
      </c>
      <c r="D61" s="21">
        <f>SE!M7</f>
        <v>0</v>
      </c>
    </row>
    <row r="62" spans="1:4" hidden="1" x14ac:dyDescent="0.25">
      <c r="A62" s="19">
        <f>SE!B$1</f>
        <v>45596</v>
      </c>
      <c r="B62" s="20" t="s">
        <v>81</v>
      </c>
      <c r="C62" s="20" t="s">
        <v>15</v>
      </c>
      <c r="D62" s="21">
        <f>SE!B9</f>
        <v>4554938.09</v>
      </c>
    </row>
    <row r="63" spans="1:4" hidden="1" x14ac:dyDescent="0.25">
      <c r="A63" s="19">
        <f>SE!C$1</f>
        <v>45626</v>
      </c>
      <c r="B63" s="20" t="s">
        <v>81</v>
      </c>
      <c r="C63" s="20" t="s">
        <v>15</v>
      </c>
      <c r="D63" s="21">
        <f>SE!C9</f>
        <v>4410882.8499999996</v>
      </c>
    </row>
    <row r="64" spans="1:4" hidden="1" x14ac:dyDescent="0.25">
      <c r="A64" s="19">
        <f>SE!D$1</f>
        <v>45657</v>
      </c>
      <c r="B64" s="20" t="s">
        <v>81</v>
      </c>
      <c r="C64" s="20" t="s">
        <v>15</v>
      </c>
      <c r="D64" s="21">
        <f>SE!D9</f>
        <v>4784355.49</v>
      </c>
    </row>
    <row r="65" spans="1:4" hidden="1" x14ac:dyDescent="0.25">
      <c r="A65" s="19">
        <f>SE!E$1</f>
        <v>45688</v>
      </c>
      <c r="B65" s="20" t="s">
        <v>81</v>
      </c>
      <c r="C65" s="20" t="s">
        <v>15</v>
      </c>
      <c r="D65" s="21">
        <f>SE!E9</f>
        <v>4808684.1800000006</v>
      </c>
    </row>
    <row r="66" spans="1:4" hidden="1" x14ac:dyDescent="0.25">
      <c r="A66" s="19">
        <f>SE!F$1</f>
        <v>45716</v>
      </c>
      <c r="B66" s="20" t="s">
        <v>81</v>
      </c>
      <c r="C66" s="20" t="s">
        <v>15</v>
      </c>
      <c r="D66" s="21">
        <f>SE!F9</f>
        <v>4010354.5</v>
      </c>
    </row>
    <row r="67" spans="1:4" hidden="1" x14ac:dyDescent="0.25">
      <c r="A67" s="19">
        <f>SE!G$1</f>
        <v>45747</v>
      </c>
      <c r="B67" s="20" t="s">
        <v>81</v>
      </c>
      <c r="C67" s="20" t="s">
        <v>15</v>
      </c>
      <c r="D67" s="21">
        <f>SE!G9</f>
        <v>4443915.3</v>
      </c>
    </row>
    <row r="68" spans="1:4" hidden="1" x14ac:dyDescent="0.25">
      <c r="A68" s="19">
        <f>SE!H$1</f>
        <v>45777</v>
      </c>
      <c r="B68" s="20" t="s">
        <v>81</v>
      </c>
      <c r="C68" s="20" t="s">
        <v>15</v>
      </c>
      <c r="D68" s="21">
        <f>SE!H9</f>
        <v>4169707.0599999996</v>
      </c>
    </row>
    <row r="69" spans="1:4" hidden="1" x14ac:dyDescent="0.25">
      <c r="A69" s="19">
        <f>SE!I$1</f>
        <v>45808</v>
      </c>
      <c r="B69" s="20" t="s">
        <v>81</v>
      </c>
      <c r="C69" s="20" t="s">
        <v>15</v>
      </c>
      <c r="D69" s="21">
        <f>SE!I9</f>
        <v>4335379.8600000003</v>
      </c>
    </row>
    <row r="70" spans="1:4" hidden="1" x14ac:dyDescent="0.25">
      <c r="A70" s="19">
        <f>SE!J$1</f>
        <v>45838</v>
      </c>
      <c r="B70" s="20" t="s">
        <v>81</v>
      </c>
      <c r="C70" s="20" t="s">
        <v>15</v>
      </c>
      <c r="D70" s="21">
        <f>SE!J9</f>
        <v>4928770.3</v>
      </c>
    </row>
    <row r="71" spans="1:4" hidden="1" x14ac:dyDescent="0.25">
      <c r="A71" s="19">
        <f>SE!K$1</f>
        <v>45869</v>
      </c>
      <c r="B71" s="20" t="s">
        <v>81</v>
      </c>
      <c r="C71" s="20" t="s">
        <v>15</v>
      </c>
      <c r="D71" s="21">
        <f>SE!K9</f>
        <v>4424675.04</v>
      </c>
    </row>
    <row r="72" spans="1:4" hidden="1" x14ac:dyDescent="0.25">
      <c r="A72" s="19">
        <f>SE!L$1</f>
        <v>45900</v>
      </c>
      <c r="B72" s="20" t="s">
        <v>81</v>
      </c>
      <c r="C72" s="20" t="s">
        <v>15</v>
      </c>
      <c r="D72" s="21">
        <f>SE!L9</f>
        <v>4171704.2899999996</v>
      </c>
    </row>
    <row r="73" spans="1:4" hidden="1" x14ac:dyDescent="0.25">
      <c r="A73" s="19">
        <f>SE!M$1</f>
        <v>45930</v>
      </c>
      <c r="B73" s="20" t="s">
        <v>81</v>
      </c>
      <c r="C73" s="20" t="s">
        <v>15</v>
      </c>
      <c r="D73" s="21">
        <f>SE!M9</f>
        <v>4342062.49</v>
      </c>
    </row>
    <row r="74" spans="1:4" hidden="1" x14ac:dyDescent="0.25">
      <c r="A74" s="19">
        <f>SE!B$1</f>
        <v>45596</v>
      </c>
      <c r="B74" s="20" t="s">
        <v>81</v>
      </c>
      <c r="C74" s="20" t="s">
        <v>16</v>
      </c>
      <c r="D74" s="21">
        <f>SE!B10</f>
        <v>0</v>
      </c>
    </row>
    <row r="75" spans="1:4" hidden="1" x14ac:dyDescent="0.25">
      <c r="A75" s="19">
        <f>SE!C$1</f>
        <v>45626</v>
      </c>
      <c r="B75" s="20" t="s">
        <v>81</v>
      </c>
      <c r="C75" s="20" t="s">
        <v>16</v>
      </c>
      <c r="D75" s="21">
        <f>SE!C10</f>
        <v>0</v>
      </c>
    </row>
    <row r="76" spans="1:4" hidden="1" x14ac:dyDescent="0.25">
      <c r="A76" s="19">
        <f>SE!D$1</f>
        <v>45657</v>
      </c>
      <c r="B76" s="20" t="s">
        <v>81</v>
      </c>
      <c r="C76" s="20" t="s">
        <v>16</v>
      </c>
      <c r="D76" s="21">
        <f>SE!D10</f>
        <v>0</v>
      </c>
    </row>
    <row r="77" spans="1:4" hidden="1" x14ac:dyDescent="0.25">
      <c r="A77" s="19">
        <f>SE!E$1</f>
        <v>45688</v>
      </c>
      <c r="B77" s="20" t="s">
        <v>81</v>
      </c>
      <c r="C77" s="20" t="s">
        <v>16</v>
      </c>
      <c r="D77" s="21">
        <f>SE!E10</f>
        <v>0</v>
      </c>
    </row>
    <row r="78" spans="1:4" hidden="1" x14ac:dyDescent="0.25">
      <c r="A78" s="19">
        <f>SE!F$1</f>
        <v>45716</v>
      </c>
      <c r="B78" s="20" t="s">
        <v>81</v>
      </c>
      <c r="C78" s="20" t="s">
        <v>16</v>
      </c>
      <c r="D78" s="21">
        <f>SE!F10</f>
        <v>0</v>
      </c>
    </row>
    <row r="79" spans="1:4" hidden="1" x14ac:dyDescent="0.25">
      <c r="A79" s="19">
        <f>SE!G$1</f>
        <v>45747</v>
      </c>
      <c r="B79" s="20" t="s">
        <v>81</v>
      </c>
      <c r="C79" s="20" t="s">
        <v>16</v>
      </c>
      <c r="D79" s="21">
        <f>SE!G10</f>
        <v>0</v>
      </c>
    </row>
    <row r="80" spans="1:4" hidden="1" x14ac:dyDescent="0.25">
      <c r="A80" s="19">
        <f>SE!H$1</f>
        <v>45777</v>
      </c>
      <c r="B80" s="20" t="s">
        <v>81</v>
      </c>
      <c r="C80" s="20" t="s">
        <v>16</v>
      </c>
      <c r="D80" s="21">
        <f>SE!H10</f>
        <v>0</v>
      </c>
    </row>
    <row r="81" spans="1:4" hidden="1" x14ac:dyDescent="0.25">
      <c r="A81" s="19">
        <f>SE!I$1</f>
        <v>45808</v>
      </c>
      <c r="B81" s="20" t="s">
        <v>81</v>
      </c>
      <c r="C81" s="20" t="s">
        <v>16</v>
      </c>
      <c r="D81" s="21">
        <f>SE!I10</f>
        <v>0</v>
      </c>
    </row>
    <row r="82" spans="1:4" hidden="1" x14ac:dyDescent="0.25">
      <c r="A82" s="19">
        <f>SE!J$1</f>
        <v>45838</v>
      </c>
      <c r="B82" s="20" t="s">
        <v>81</v>
      </c>
      <c r="C82" s="20" t="s">
        <v>16</v>
      </c>
      <c r="D82" s="21">
        <f>SE!J10</f>
        <v>0</v>
      </c>
    </row>
    <row r="83" spans="1:4" hidden="1" x14ac:dyDescent="0.25">
      <c r="A83" s="19">
        <f>SE!K$1</f>
        <v>45869</v>
      </c>
      <c r="B83" s="20" t="s">
        <v>81</v>
      </c>
      <c r="C83" s="20" t="s">
        <v>16</v>
      </c>
      <c r="D83" s="21">
        <f>SE!K10</f>
        <v>0</v>
      </c>
    </row>
    <row r="84" spans="1:4" hidden="1" x14ac:dyDescent="0.25">
      <c r="A84" s="19">
        <f>SE!L$1</f>
        <v>45900</v>
      </c>
      <c r="B84" s="20" t="s">
        <v>81</v>
      </c>
      <c r="C84" s="20" t="s">
        <v>16</v>
      </c>
      <c r="D84" s="21">
        <f>SE!L10</f>
        <v>0</v>
      </c>
    </row>
    <row r="85" spans="1:4" hidden="1" x14ac:dyDescent="0.25">
      <c r="A85" s="19">
        <f>SE!M$1</f>
        <v>45930</v>
      </c>
      <c r="B85" s="20" t="s">
        <v>81</v>
      </c>
      <c r="C85" s="20" t="s">
        <v>16</v>
      </c>
      <c r="D85" s="21">
        <f>SE!M10</f>
        <v>0</v>
      </c>
    </row>
    <row r="86" spans="1:4" hidden="1" x14ac:dyDescent="0.25">
      <c r="A86" s="19">
        <f>SE!B$1</f>
        <v>45596</v>
      </c>
      <c r="B86" s="20" t="s">
        <v>81</v>
      </c>
      <c r="C86" s="20" t="s">
        <v>17</v>
      </c>
      <c r="D86" s="21">
        <f>SE!B11</f>
        <v>506236.61</v>
      </c>
    </row>
    <row r="87" spans="1:4" hidden="1" x14ac:dyDescent="0.25">
      <c r="A87" s="19">
        <f>SE!C$1</f>
        <v>45626</v>
      </c>
      <c r="B87" s="20" t="s">
        <v>81</v>
      </c>
      <c r="C87" s="20" t="s">
        <v>17</v>
      </c>
      <c r="D87" s="21">
        <f>SE!C11</f>
        <v>486197.25</v>
      </c>
    </row>
    <row r="88" spans="1:4" hidden="1" x14ac:dyDescent="0.25">
      <c r="A88" s="19">
        <f>SE!D$1</f>
        <v>45657</v>
      </c>
      <c r="B88" s="20" t="s">
        <v>81</v>
      </c>
      <c r="C88" s="20" t="s">
        <v>17</v>
      </c>
      <c r="D88" s="21">
        <f>SE!D11</f>
        <v>466767.58999999997</v>
      </c>
    </row>
    <row r="89" spans="1:4" hidden="1" x14ac:dyDescent="0.25">
      <c r="A89" s="19">
        <f>SE!E$1</f>
        <v>45688</v>
      </c>
      <c r="B89" s="20" t="s">
        <v>81</v>
      </c>
      <c r="C89" s="20" t="s">
        <v>17</v>
      </c>
      <c r="D89" s="21">
        <f>SE!E11</f>
        <v>453514.62</v>
      </c>
    </row>
    <row r="90" spans="1:4" hidden="1" x14ac:dyDescent="0.25">
      <c r="A90" s="19">
        <f>SE!F$1</f>
        <v>45716</v>
      </c>
      <c r="B90" s="20" t="s">
        <v>81</v>
      </c>
      <c r="C90" s="20" t="s">
        <v>17</v>
      </c>
      <c r="D90" s="21">
        <f>SE!F11</f>
        <v>329502.50999999995</v>
      </c>
    </row>
    <row r="91" spans="1:4" hidden="1" x14ac:dyDescent="0.25">
      <c r="A91" s="19">
        <f>SE!G$1</f>
        <v>45747</v>
      </c>
      <c r="B91" s="20" t="s">
        <v>81</v>
      </c>
      <c r="C91" s="20" t="s">
        <v>17</v>
      </c>
      <c r="D91" s="21">
        <f>SE!G11</f>
        <v>431592.81</v>
      </c>
    </row>
    <row r="92" spans="1:4" hidden="1" x14ac:dyDescent="0.25">
      <c r="A92" s="19">
        <f>SE!H$1</f>
        <v>45777</v>
      </c>
      <c r="B92" s="20" t="s">
        <v>81</v>
      </c>
      <c r="C92" s="20" t="s">
        <v>17</v>
      </c>
      <c r="D92" s="21">
        <f>SE!H11</f>
        <v>423339.83</v>
      </c>
    </row>
    <row r="93" spans="1:4" hidden="1" x14ac:dyDescent="0.25">
      <c r="A93" s="19">
        <f>SE!I$1</f>
        <v>45808</v>
      </c>
      <c r="B93" s="20" t="s">
        <v>81</v>
      </c>
      <c r="C93" s="20" t="s">
        <v>17</v>
      </c>
      <c r="D93" s="21">
        <f>SE!I11</f>
        <v>314637.75</v>
      </c>
    </row>
    <row r="94" spans="1:4" hidden="1" x14ac:dyDescent="0.25">
      <c r="A94" s="19">
        <f>SE!J$1</f>
        <v>45838</v>
      </c>
      <c r="B94" s="20" t="s">
        <v>81</v>
      </c>
      <c r="C94" s="20" t="s">
        <v>17</v>
      </c>
      <c r="D94" s="21">
        <f>SE!J11</f>
        <v>543535.02</v>
      </c>
    </row>
    <row r="95" spans="1:4" hidden="1" x14ac:dyDescent="0.25">
      <c r="A95" s="19">
        <f>SE!K$1</f>
        <v>45869</v>
      </c>
      <c r="B95" s="20" t="s">
        <v>81</v>
      </c>
      <c r="C95" s="20" t="s">
        <v>17</v>
      </c>
      <c r="D95" s="21">
        <f>SE!K11</f>
        <v>121273.23</v>
      </c>
    </row>
    <row r="96" spans="1:4" hidden="1" x14ac:dyDescent="0.25">
      <c r="A96" s="19">
        <f>SE!L$1</f>
        <v>45900</v>
      </c>
      <c r="B96" s="20" t="s">
        <v>81</v>
      </c>
      <c r="C96" s="20" t="s">
        <v>17</v>
      </c>
      <c r="D96" s="21">
        <f>SE!L11</f>
        <v>456105.65</v>
      </c>
    </row>
    <row r="97" spans="1:4" hidden="1" x14ac:dyDescent="0.25">
      <c r="A97" s="19">
        <f>SE!M$1</f>
        <v>45930</v>
      </c>
      <c r="B97" s="20" t="s">
        <v>81</v>
      </c>
      <c r="C97" s="20" t="s">
        <v>17</v>
      </c>
      <c r="D97" s="21">
        <f>SE!M11</f>
        <v>438200.51999999996</v>
      </c>
    </row>
    <row r="98" spans="1:4" hidden="1" x14ac:dyDescent="0.25">
      <c r="A98" s="19">
        <f>SE!B$1</f>
        <v>45596</v>
      </c>
      <c r="B98" s="20" t="s">
        <v>81</v>
      </c>
      <c r="C98" s="20" t="s">
        <v>18</v>
      </c>
      <c r="D98" s="21">
        <f>SE!B12</f>
        <v>9309.16</v>
      </c>
    </row>
    <row r="99" spans="1:4" hidden="1" x14ac:dyDescent="0.25">
      <c r="A99" s="19">
        <f>SE!C$1</f>
        <v>45626</v>
      </c>
      <c r="B99" s="20" t="s">
        <v>81</v>
      </c>
      <c r="C99" s="20" t="s">
        <v>18</v>
      </c>
      <c r="D99" s="21">
        <f>SE!C12</f>
        <v>6987.7</v>
      </c>
    </row>
    <row r="100" spans="1:4" hidden="1" x14ac:dyDescent="0.25">
      <c r="A100" s="19">
        <f>SE!D$1</f>
        <v>45657</v>
      </c>
      <c r="B100" s="20" t="s">
        <v>81</v>
      </c>
      <c r="C100" s="20" t="s">
        <v>18</v>
      </c>
      <c r="D100" s="21">
        <f>SE!D12</f>
        <v>7014.08</v>
      </c>
    </row>
    <row r="101" spans="1:4" hidden="1" x14ac:dyDescent="0.25">
      <c r="A101" s="19">
        <f>SE!E$1</f>
        <v>45688</v>
      </c>
      <c r="B101" s="20" t="s">
        <v>81</v>
      </c>
      <c r="C101" s="20" t="s">
        <v>18</v>
      </c>
      <c r="D101" s="21">
        <f>SE!E12</f>
        <v>19593.219999999998</v>
      </c>
    </row>
    <row r="102" spans="1:4" hidden="1" x14ac:dyDescent="0.25">
      <c r="A102" s="19">
        <f>SE!F$1</f>
        <v>45716</v>
      </c>
      <c r="B102" s="20" t="s">
        <v>81</v>
      </c>
      <c r="C102" s="20" t="s">
        <v>18</v>
      </c>
      <c r="D102" s="21">
        <f>SE!F12</f>
        <v>17115.89</v>
      </c>
    </row>
    <row r="103" spans="1:4" hidden="1" x14ac:dyDescent="0.25">
      <c r="A103" s="19">
        <f>SE!G$1</f>
        <v>45747</v>
      </c>
      <c r="B103" s="20" t="s">
        <v>81</v>
      </c>
      <c r="C103" s="20" t="s">
        <v>18</v>
      </c>
      <c r="D103" s="21">
        <f>SE!G12</f>
        <v>15500.24</v>
      </c>
    </row>
    <row r="104" spans="1:4" hidden="1" x14ac:dyDescent="0.25">
      <c r="A104" s="19">
        <f>SE!H$1</f>
        <v>45777</v>
      </c>
      <c r="B104" s="20" t="s">
        <v>81</v>
      </c>
      <c r="C104" s="20" t="s">
        <v>18</v>
      </c>
      <c r="D104" s="21">
        <f>SE!H12</f>
        <v>36321.96</v>
      </c>
    </row>
    <row r="105" spans="1:4" hidden="1" x14ac:dyDescent="0.25">
      <c r="A105" s="19">
        <f>SE!I$1</f>
        <v>45808</v>
      </c>
      <c r="B105" s="20" t="s">
        <v>81</v>
      </c>
      <c r="C105" s="20" t="s">
        <v>18</v>
      </c>
      <c r="D105" s="21">
        <f>SE!I12</f>
        <v>41681.949999999997</v>
      </c>
    </row>
    <row r="106" spans="1:4" hidden="1" x14ac:dyDescent="0.25">
      <c r="A106" s="19">
        <f>SE!J$1</f>
        <v>45838</v>
      </c>
      <c r="B106" s="20" t="s">
        <v>81</v>
      </c>
      <c r="C106" s="20" t="s">
        <v>18</v>
      </c>
      <c r="D106" s="21">
        <f>SE!J12</f>
        <v>46819.6</v>
      </c>
    </row>
    <row r="107" spans="1:4" hidden="1" x14ac:dyDescent="0.25">
      <c r="A107" s="19">
        <f>SE!K$1</f>
        <v>45869</v>
      </c>
      <c r="B107" s="20" t="s">
        <v>81</v>
      </c>
      <c r="C107" s="20" t="s">
        <v>18</v>
      </c>
      <c r="D107" s="21">
        <f>SE!K12</f>
        <v>14178.88</v>
      </c>
    </row>
    <row r="108" spans="1:4" hidden="1" x14ac:dyDescent="0.25">
      <c r="A108" s="19">
        <f>SE!L$1</f>
        <v>45900</v>
      </c>
      <c r="B108" s="20" t="s">
        <v>81</v>
      </c>
      <c r="C108" s="20" t="s">
        <v>18</v>
      </c>
      <c r="D108" s="21">
        <f>SE!L12</f>
        <v>38142.1</v>
      </c>
    </row>
    <row r="109" spans="1:4" hidden="1" x14ac:dyDescent="0.25">
      <c r="A109" s="19">
        <f>SE!M$1</f>
        <v>45930</v>
      </c>
      <c r="B109" s="20" t="s">
        <v>81</v>
      </c>
      <c r="C109" s="20" t="s">
        <v>18</v>
      </c>
      <c r="D109" s="21">
        <f>SE!M12</f>
        <v>37737.15</v>
      </c>
    </row>
    <row r="110" spans="1:4" hidden="1" x14ac:dyDescent="0.25">
      <c r="A110" s="19">
        <f>SE!B$1</f>
        <v>45596</v>
      </c>
      <c r="B110" s="20" t="s">
        <v>81</v>
      </c>
      <c r="C110" s="20" t="s">
        <v>19</v>
      </c>
      <c r="D110" s="21">
        <f>SE!B13</f>
        <v>0</v>
      </c>
    </row>
    <row r="111" spans="1:4" hidden="1" x14ac:dyDescent="0.25">
      <c r="A111" s="19">
        <f>SE!C$1</f>
        <v>45626</v>
      </c>
      <c r="B111" s="20" t="s">
        <v>81</v>
      </c>
      <c r="C111" s="20" t="s">
        <v>19</v>
      </c>
      <c r="D111" s="21">
        <f>SE!C13</f>
        <v>0</v>
      </c>
    </row>
    <row r="112" spans="1:4" hidden="1" x14ac:dyDescent="0.25">
      <c r="A112" s="19">
        <f>SE!D$1</f>
        <v>45657</v>
      </c>
      <c r="B112" s="20" t="s">
        <v>81</v>
      </c>
      <c r="C112" s="20" t="s">
        <v>19</v>
      </c>
      <c r="D112" s="21">
        <f>SE!D13</f>
        <v>0</v>
      </c>
    </row>
    <row r="113" spans="1:4" hidden="1" x14ac:dyDescent="0.25">
      <c r="A113" s="19">
        <f>SE!E$1</f>
        <v>45688</v>
      </c>
      <c r="B113" s="20" t="s">
        <v>81</v>
      </c>
      <c r="C113" s="20" t="s">
        <v>19</v>
      </c>
      <c r="D113" s="21">
        <f>SE!E13</f>
        <v>0</v>
      </c>
    </row>
    <row r="114" spans="1:4" hidden="1" x14ac:dyDescent="0.25">
      <c r="A114" s="19">
        <f>SE!F$1</f>
        <v>45716</v>
      </c>
      <c r="B114" s="20" t="s">
        <v>81</v>
      </c>
      <c r="C114" s="20" t="s">
        <v>19</v>
      </c>
      <c r="D114" s="21">
        <f>SE!F13</f>
        <v>0</v>
      </c>
    </row>
    <row r="115" spans="1:4" hidden="1" x14ac:dyDescent="0.25">
      <c r="A115" s="19">
        <f>SE!G$1</f>
        <v>45747</v>
      </c>
      <c r="B115" s="20" t="s">
        <v>81</v>
      </c>
      <c r="C115" s="20" t="s">
        <v>19</v>
      </c>
      <c r="D115" s="21">
        <f>SE!G13</f>
        <v>0</v>
      </c>
    </row>
    <row r="116" spans="1:4" hidden="1" x14ac:dyDescent="0.25">
      <c r="A116" s="19">
        <f>SE!H$1</f>
        <v>45777</v>
      </c>
      <c r="B116" s="20" t="s">
        <v>81</v>
      </c>
      <c r="C116" s="20" t="s">
        <v>19</v>
      </c>
      <c r="D116" s="21">
        <f>SE!H13</f>
        <v>0</v>
      </c>
    </row>
    <row r="117" spans="1:4" hidden="1" x14ac:dyDescent="0.25">
      <c r="A117" s="19">
        <f>SE!I$1</f>
        <v>45808</v>
      </c>
      <c r="B117" s="20" t="s">
        <v>81</v>
      </c>
      <c r="C117" s="20" t="s">
        <v>19</v>
      </c>
      <c r="D117" s="21">
        <f>SE!I13</f>
        <v>0</v>
      </c>
    </row>
    <row r="118" spans="1:4" hidden="1" x14ac:dyDescent="0.25">
      <c r="A118" s="19">
        <f>SE!J$1</f>
        <v>45838</v>
      </c>
      <c r="B118" s="20" t="s">
        <v>81</v>
      </c>
      <c r="C118" s="20" t="s">
        <v>19</v>
      </c>
      <c r="D118" s="21">
        <f>SE!J13</f>
        <v>0</v>
      </c>
    </row>
    <row r="119" spans="1:4" hidden="1" x14ac:dyDescent="0.25">
      <c r="A119" s="19">
        <f>SE!K$1</f>
        <v>45869</v>
      </c>
      <c r="B119" s="20" t="s">
        <v>81</v>
      </c>
      <c r="C119" s="20" t="s">
        <v>19</v>
      </c>
      <c r="D119" s="21">
        <f>SE!K13</f>
        <v>0</v>
      </c>
    </row>
    <row r="120" spans="1:4" hidden="1" x14ac:dyDescent="0.25">
      <c r="A120" s="19">
        <f>SE!L$1</f>
        <v>45900</v>
      </c>
      <c r="B120" s="20" t="s">
        <v>81</v>
      </c>
      <c r="C120" s="20" t="s">
        <v>19</v>
      </c>
      <c r="D120" s="21">
        <f>SE!L13</f>
        <v>0</v>
      </c>
    </row>
    <row r="121" spans="1:4" hidden="1" x14ac:dyDescent="0.25">
      <c r="A121" s="19">
        <f>SE!M$1</f>
        <v>45930</v>
      </c>
      <c r="B121" s="20" t="s">
        <v>81</v>
      </c>
      <c r="C121" s="20" t="s">
        <v>19</v>
      </c>
      <c r="D121" s="21">
        <f>SE!M13</f>
        <v>0</v>
      </c>
    </row>
    <row r="122" spans="1:4" hidden="1" x14ac:dyDescent="0.25">
      <c r="A122" s="19">
        <f>SE!B$1</f>
        <v>45596</v>
      </c>
      <c r="B122" s="20" t="s">
        <v>81</v>
      </c>
      <c r="C122" s="20" t="s">
        <v>20</v>
      </c>
      <c r="D122" s="21">
        <f>SE!B14</f>
        <v>0</v>
      </c>
    </row>
    <row r="123" spans="1:4" hidden="1" x14ac:dyDescent="0.25">
      <c r="A123" s="19">
        <f>SE!C$1</f>
        <v>45626</v>
      </c>
      <c r="B123" s="20" t="s">
        <v>81</v>
      </c>
      <c r="C123" s="20" t="s">
        <v>20</v>
      </c>
      <c r="D123" s="21">
        <f>SE!C14</f>
        <v>0</v>
      </c>
    </row>
    <row r="124" spans="1:4" hidden="1" x14ac:dyDescent="0.25">
      <c r="A124" s="19">
        <f>SE!D$1</f>
        <v>45657</v>
      </c>
      <c r="B124" s="20" t="s">
        <v>81</v>
      </c>
      <c r="C124" s="20" t="s">
        <v>20</v>
      </c>
      <c r="D124" s="21">
        <f>SE!D14</f>
        <v>0</v>
      </c>
    </row>
    <row r="125" spans="1:4" hidden="1" x14ac:dyDescent="0.25">
      <c r="A125" s="19">
        <f>SE!E$1</f>
        <v>45688</v>
      </c>
      <c r="B125" s="20" t="s">
        <v>81</v>
      </c>
      <c r="C125" s="20" t="s">
        <v>20</v>
      </c>
      <c r="D125" s="21">
        <f>SE!E14</f>
        <v>0</v>
      </c>
    </row>
    <row r="126" spans="1:4" hidden="1" x14ac:dyDescent="0.25">
      <c r="A126" s="19">
        <f>SE!F$1</f>
        <v>45716</v>
      </c>
      <c r="B126" s="20" t="s">
        <v>81</v>
      </c>
      <c r="C126" s="20" t="s">
        <v>20</v>
      </c>
      <c r="D126" s="21">
        <f>SE!F14</f>
        <v>0</v>
      </c>
    </row>
    <row r="127" spans="1:4" hidden="1" x14ac:dyDescent="0.25">
      <c r="A127" s="19">
        <f>SE!G$1</f>
        <v>45747</v>
      </c>
      <c r="B127" s="20" t="s">
        <v>81</v>
      </c>
      <c r="C127" s="20" t="s">
        <v>20</v>
      </c>
      <c r="D127" s="21">
        <f>SE!G14</f>
        <v>0</v>
      </c>
    </row>
    <row r="128" spans="1:4" hidden="1" x14ac:dyDescent="0.25">
      <c r="A128" s="19">
        <f>SE!H$1</f>
        <v>45777</v>
      </c>
      <c r="B128" s="20" t="s">
        <v>81</v>
      </c>
      <c r="C128" s="20" t="s">
        <v>20</v>
      </c>
      <c r="D128" s="21">
        <f>SE!H14</f>
        <v>0</v>
      </c>
    </row>
    <row r="129" spans="1:4" hidden="1" x14ac:dyDescent="0.25">
      <c r="A129" s="19">
        <f>SE!I$1</f>
        <v>45808</v>
      </c>
      <c r="B129" s="20" t="s">
        <v>81</v>
      </c>
      <c r="C129" s="20" t="s">
        <v>20</v>
      </c>
      <c r="D129" s="21">
        <f>SE!I14</f>
        <v>0</v>
      </c>
    </row>
    <row r="130" spans="1:4" hidden="1" x14ac:dyDescent="0.25">
      <c r="A130" s="19">
        <f>SE!J$1</f>
        <v>45838</v>
      </c>
      <c r="B130" s="20" t="s">
        <v>81</v>
      </c>
      <c r="C130" s="20" t="s">
        <v>20</v>
      </c>
      <c r="D130" s="21">
        <f>SE!J14</f>
        <v>0</v>
      </c>
    </row>
    <row r="131" spans="1:4" hidden="1" x14ac:dyDescent="0.25">
      <c r="A131" s="19">
        <f>SE!K$1</f>
        <v>45869</v>
      </c>
      <c r="B131" s="20" t="s">
        <v>81</v>
      </c>
      <c r="C131" s="20" t="s">
        <v>20</v>
      </c>
      <c r="D131" s="21">
        <f>SE!K14</f>
        <v>0</v>
      </c>
    </row>
    <row r="132" spans="1:4" hidden="1" x14ac:dyDescent="0.25">
      <c r="A132" s="19">
        <f>SE!L$1</f>
        <v>45900</v>
      </c>
      <c r="B132" s="20" t="s">
        <v>81</v>
      </c>
      <c r="C132" s="20" t="s">
        <v>20</v>
      </c>
      <c r="D132" s="21">
        <f>SE!L14</f>
        <v>0</v>
      </c>
    </row>
    <row r="133" spans="1:4" hidden="1" x14ac:dyDescent="0.25">
      <c r="A133" s="19">
        <f>SE!M$1</f>
        <v>45930</v>
      </c>
      <c r="B133" s="20" t="s">
        <v>81</v>
      </c>
      <c r="C133" s="20" t="s">
        <v>20</v>
      </c>
      <c r="D133" s="21">
        <f>SE!M14</f>
        <v>0</v>
      </c>
    </row>
    <row r="134" spans="1:4" hidden="1" x14ac:dyDescent="0.25">
      <c r="A134" s="19">
        <f>SE!B$1</f>
        <v>45596</v>
      </c>
      <c r="B134" s="20" t="s">
        <v>81</v>
      </c>
      <c r="C134" s="20" t="s">
        <v>21</v>
      </c>
      <c r="D134" s="21">
        <f>SE!B15</f>
        <v>0</v>
      </c>
    </row>
    <row r="135" spans="1:4" hidden="1" x14ac:dyDescent="0.25">
      <c r="A135" s="19">
        <f>SE!C$1</f>
        <v>45626</v>
      </c>
      <c r="B135" s="20" t="s">
        <v>81</v>
      </c>
      <c r="C135" s="20" t="s">
        <v>21</v>
      </c>
      <c r="D135" s="21">
        <f>SE!C15</f>
        <v>0</v>
      </c>
    </row>
    <row r="136" spans="1:4" hidden="1" x14ac:dyDescent="0.25">
      <c r="A136" s="19">
        <f>SE!D$1</f>
        <v>45657</v>
      </c>
      <c r="B136" s="20" t="s">
        <v>81</v>
      </c>
      <c r="C136" s="20" t="s">
        <v>21</v>
      </c>
      <c r="D136" s="21">
        <f>SE!D15</f>
        <v>0</v>
      </c>
    </row>
    <row r="137" spans="1:4" hidden="1" x14ac:dyDescent="0.25">
      <c r="A137" s="19">
        <f>SE!E$1</f>
        <v>45688</v>
      </c>
      <c r="B137" s="20" t="s">
        <v>81</v>
      </c>
      <c r="C137" s="20" t="s">
        <v>21</v>
      </c>
      <c r="D137" s="21">
        <f>SE!E15</f>
        <v>0</v>
      </c>
    </row>
    <row r="138" spans="1:4" hidden="1" x14ac:dyDescent="0.25">
      <c r="A138" s="19">
        <f>SE!F$1</f>
        <v>45716</v>
      </c>
      <c r="B138" s="20" t="s">
        <v>81</v>
      </c>
      <c r="C138" s="20" t="s">
        <v>21</v>
      </c>
      <c r="D138" s="21">
        <f>SE!F15</f>
        <v>0</v>
      </c>
    </row>
    <row r="139" spans="1:4" hidden="1" x14ac:dyDescent="0.25">
      <c r="A139" s="19">
        <f>SE!G$1</f>
        <v>45747</v>
      </c>
      <c r="B139" s="20" t="s">
        <v>81</v>
      </c>
      <c r="C139" s="20" t="s">
        <v>21</v>
      </c>
      <c r="D139" s="21">
        <f>SE!G15</f>
        <v>0</v>
      </c>
    </row>
    <row r="140" spans="1:4" hidden="1" x14ac:dyDescent="0.25">
      <c r="A140" s="19">
        <f>SE!H$1</f>
        <v>45777</v>
      </c>
      <c r="B140" s="20" t="s">
        <v>81</v>
      </c>
      <c r="C140" s="20" t="s">
        <v>21</v>
      </c>
      <c r="D140" s="21">
        <f>SE!H15</f>
        <v>0</v>
      </c>
    </row>
    <row r="141" spans="1:4" hidden="1" x14ac:dyDescent="0.25">
      <c r="A141" s="19">
        <f>SE!I$1</f>
        <v>45808</v>
      </c>
      <c r="B141" s="20" t="s">
        <v>81</v>
      </c>
      <c r="C141" s="20" t="s">
        <v>21</v>
      </c>
      <c r="D141" s="21">
        <f>SE!I15</f>
        <v>0</v>
      </c>
    </row>
    <row r="142" spans="1:4" hidden="1" x14ac:dyDescent="0.25">
      <c r="A142" s="19">
        <f>SE!J$1</f>
        <v>45838</v>
      </c>
      <c r="B142" s="20" t="s">
        <v>81</v>
      </c>
      <c r="C142" s="20" t="s">
        <v>21</v>
      </c>
      <c r="D142" s="21">
        <f>SE!J15</f>
        <v>0</v>
      </c>
    </row>
    <row r="143" spans="1:4" hidden="1" x14ac:dyDescent="0.25">
      <c r="A143" s="19">
        <f>SE!K$1</f>
        <v>45869</v>
      </c>
      <c r="B143" s="20" t="s">
        <v>81</v>
      </c>
      <c r="C143" s="20" t="s">
        <v>21</v>
      </c>
      <c r="D143" s="21">
        <f>SE!K15</f>
        <v>0</v>
      </c>
    </row>
    <row r="144" spans="1:4" hidden="1" x14ac:dyDescent="0.25">
      <c r="A144" s="19">
        <f>SE!L$1</f>
        <v>45900</v>
      </c>
      <c r="B144" s="20" t="s">
        <v>81</v>
      </c>
      <c r="C144" s="20" t="s">
        <v>21</v>
      </c>
      <c r="D144" s="21">
        <f>SE!L15</f>
        <v>0</v>
      </c>
    </row>
    <row r="145" spans="1:4" hidden="1" x14ac:dyDescent="0.25">
      <c r="A145" s="19">
        <f>SE!M$1</f>
        <v>45930</v>
      </c>
      <c r="B145" s="20" t="s">
        <v>81</v>
      </c>
      <c r="C145" s="20" t="s">
        <v>21</v>
      </c>
      <c r="D145" s="21">
        <f>SE!M15</f>
        <v>0</v>
      </c>
    </row>
    <row r="146" spans="1:4" hidden="1" x14ac:dyDescent="0.25">
      <c r="A146" s="19">
        <f>SE!B$1</f>
        <v>45596</v>
      </c>
      <c r="B146" s="20" t="s">
        <v>81</v>
      </c>
      <c r="C146" s="20" t="s">
        <v>22</v>
      </c>
      <c r="D146" s="21">
        <f>SE!B16</f>
        <v>5070483.8600000003</v>
      </c>
    </row>
    <row r="147" spans="1:4" hidden="1" x14ac:dyDescent="0.25">
      <c r="A147" s="19">
        <f>SE!C$1</f>
        <v>45626</v>
      </c>
      <c r="B147" s="20" t="s">
        <v>81</v>
      </c>
      <c r="C147" s="20" t="s">
        <v>22</v>
      </c>
      <c r="D147" s="21">
        <f>SE!C16</f>
        <v>4904067.8</v>
      </c>
    </row>
    <row r="148" spans="1:4" hidden="1" x14ac:dyDescent="0.25">
      <c r="A148" s="19">
        <f>SE!D$1</f>
        <v>45657</v>
      </c>
      <c r="B148" s="20" t="s">
        <v>81</v>
      </c>
      <c r="C148" s="20" t="s">
        <v>22</v>
      </c>
      <c r="D148" s="21">
        <f>SE!D16</f>
        <v>5258137.16</v>
      </c>
    </row>
    <row r="149" spans="1:4" hidden="1" x14ac:dyDescent="0.25">
      <c r="A149" s="19">
        <f>SE!E$1</f>
        <v>45688</v>
      </c>
      <c r="B149" s="20" t="s">
        <v>81</v>
      </c>
      <c r="C149" s="20" t="s">
        <v>22</v>
      </c>
      <c r="D149" s="21">
        <f>SE!E16</f>
        <v>5281792.0199999996</v>
      </c>
    </row>
    <row r="150" spans="1:4" hidden="1" x14ac:dyDescent="0.25">
      <c r="A150" s="19">
        <f>SE!F$1</f>
        <v>45716</v>
      </c>
      <c r="B150" s="20" t="s">
        <v>81</v>
      </c>
      <c r="C150" s="20" t="s">
        <v>22</v>
      </c>
      <c r="D150" s="21">
        <f>SE!F16</f>
        <v>4356972.8999999994</v>
      </c>
    </row>
    <row r="151" spans="1:4" hidden="1" x14ac:dyDescent="0.25">
      <c r="A151" s="19">
        <f>SE!G$1</f>
        <v>45747</v>
      </c>
      <c r="B151" s="20" t="s">
        <v>81</v>
      </c>
      <c r="C151" s="20" t="s">
        <v>22</v>
      </c>
      <c r="D151" s="21">
        <f>SE!G16</f>
        <v>4891008.3499999996</v>
      </c>
    </row>
    <row r="152" spans="1:4" hidden="1" x14ac:dyDescent="0.25">
      <c r="A152" s="19">
        <f>SE!H$1</f>
        <v>45777</v>
      </c>
      <c r="B152" s="20" t="s">
        <v>81</v>
      </c>
      <c r="C152" s="20" t="s">
        <v>22</v>
      </c>
      <c r="D152" s="21">
        <f>SE!H16</f>
        <v>4629368.8499999996</v>
      </c>
    </row>
    <row r="153" spans="1:4" hidden="1" x14ac:dyDescent="0.25">
      <c r="A153" s="19">
        <f>SE!I$1</f>
        <v>45808</v>
      </c>
      <c r="B153" s="20" t="s">
        <v>81</v>
      </c>
      <c r="C153" s="20" t="s">
        <v>22</v>
      </c>
      <c r="D153" s="21">
        <f>SE!I16</f>
        <v>4691699.5599999996</v>
      </c>
    </row>
    <row r="154" spans="1:4" hidden="1" x14ac:dyDescent="0.25">
      <c r="A154" s="19">
        <f>SE!J$1</f>
        <v>45838</v>
      </c>
      <c r="B154" s="20" t="s">
        <v>81</v>
      </c>
      <c r="C154" s="20" t="s">
        <v>22</v>
      </c>
      <c r="D154" s="21">
        <f>SE!J16</f>
        <v>5519124.9199999999</v>
      </c>
    </row>
    <row r="155" spans="1:4" hidden="1" x14ac:dyDescent="0.25">
      <c r="A155" s="19">
        <f>SE!K$1</f>
        <v>45869</v>
      </c>
      <c r="B155" s="20" t="s">
        <v>81</v>
      </c>
      <c r="C155" s="20" t="s">
        <v>22</v>
      </c>
      <c r="D155" s="21">
        <f>SE!K16</f>
        <v>4560127.1500000004</v>
      </c>
    </row>
    <row r="156" spans="1:4" hidden="1" x14ac:dyDescent="0.25">
      <c r="A156" s="19">
        <f>SE!L$1</f>
        <v>45900</v>
      </c>
      <c r="B156" s="20" t="s">
        <v>81</v>
      </c>
      <c r="C156" s="20" t="s">
        <v>22</v>
      </c>
      <c r="D156" s="21">
        <f>SE!L16</f>
        <v>4665952.04</v>
      </c>
    </row>
    <row r="157" spans="1:4" hidden="1" x14ac:dyDescent="0.25">
      <c r="A157" s="19">
        <f>SE!M$1</f>
        <v>45930</v>
      </c>
      <c r="B157" s="20" t="s">
        <v>81</v>
      </c>
      <c r="C157" s="20" t="s">
        <v>22</v>
      </c>
      <c r="D157" s="21">
        <f>SE!M16</f>
        <v>4818000.1599999992</v>
      </c>
    </row>
    <row r="158" spans="1:4" hidden="1" x14ac:dyDescent="0.25">
      <c r="A158" s="19">
        <f>SE!B$1</f>
        <v>45596</v>
      </c>
      <c r="B158" s="20" t="s">
        <v>82</v>
      </c>
      <c r="C158" s="20" t="s">
        <v>83</v>
      </c>
      <c r="D158" s="21">
        <f>SE!B18</f>
        <v>62.95363986722586</v>
      </c>
    </row>
    <row r="159" spans="1:4" hidden="1" x14ac:dyDescent="0.25">
      <c r="A159" s="19">
        <f>SE!C$1</f>
        <v>45626</v>
      </c>
      <c r="B159" s="20" t="s">
        <v>82</v>
      </c>
      <c r="C159" s="20" t="s">
        <v>83</v>
      </c>
      <c r="D159" s="21">
        <f>SE!C18</f>
        <v>62.563515143396799</v>
      </c>
    </row>
    <row r="160" spans="1:4" hidden="1" x14ac:dyDescent="0.25">
      <c r="A160" s="19">
        <f>SE!D$1</f>
        <v>45657</v>
      </c>
      <c r="B160" s="20" t="s">
        <v>82</v>
      </c>
      <c r="C160" s="20" t="s">
        <v>83</v>
      </c>
      <c r="D160" s="21">
        <f>SE!D18</f>
        <v>62.71128327702823</v>
      </c>
    </row>
    <row r="161" spans="1:4" hidden="1" x14ac:dyDescent="0.25">
      <c r="A161" s="19">
        <f>SE!E$1</f>
        <v>45688</v>
      </c>
      <c r="B161" s="20" t="s">
        <v>82</v>
      </c>
      <c r="C161" s="20" t="s">
        <v>83</v>
      </c>
      <c r="D161" s="21">
        <f>SE!E18</f>
        <v>67.773668604964925</v>
      </c>
    </row>
    <row r="162" spans="1:4" hidden="1" x14ac:dyDescent="0.25">
      <c r="A162" s="19">
        <f>SE!F$1</f>
        <v>45716</v>
      </c>
      <c r="B162" s="20" t="s">
        <v>82</v>
      </c>
      <c r="C162" s="20" t="s">
        <v>83</v>
      </c>
      <c r="D162" s="21">
        <f>SE!F18</f>
        <v>63.999699786551936</v>
      </c>
    </row>
    <row r="163" spans="1:4" hidden="1" x14ac:dyDescent="0.25">
      <c r="A163" s="19">
        <f>SE!G$1</f>
        <v>45747</v>
      </c>
      <c r="B163" s="20" t="s">
        <v>82</v>
      </c>
      <c r="C163" s="20" t="s">
        <v>83</v>
      </c>
      <c r="D163" s="21">
        <f>SE!G18</f>
        <v>59.344282588864885</v>
      </c>
    </row>
    <row r="164" spans="1:4" hidden="1" x14ac:dyDescent="0.25">
      <c r="A164" s="19">
        <f>SE!H$1</f>
        <v>45777</v>
      </c>
      <c r="B164" s="20" t="s">
        <v>82</v>
      </c>
      <c r="C164" s="20" t="s">
        <v>83</v>
      </c>
      <c r="D164" s="21">
        <f>SE!H18</f>
        <v>55.722772054410939</v>
      </c>
    </row>
    <row r="165" spans="1:4" hidden="1" x14ac:dyDescent="0.25">
      <c r="A165" s="19">
        <f>SE!I$1</f>
        <v>45808</v>
      </c>
      <c r="B165" s="20" t="s">
        <v>82</v>
      </c>
      <c r="C165" s="20" t="s">
        <v>83</v>
      </c>
      <c r="D165" s="21">
        <f>SE!I18</f>
        <v>56.460461910818495</v>
      </c>
    </row>
    <row r="166" spans="1:4" hidden="1" x14ac:dyDescent="0.25">
      <c r="A166" s="19">
        <f>SE!J$1</f>
        <v>45838</v>
      </c>
      <c r="B166" s="20" t="s">
        <v>82</v>
      </c>
      <c r="C166" s="20" t="s">
        <v>83</v>
      </c>
      <c r="D166" s="21">
        <f>SE!J18</f>
        <v>63.157174523604645</v>
      </c>
    </row>
    <row r="167" spans="1:4" hidden="1" x14ac:dyDescent="0.25">
      <c r="A167" s="19">
        <f>SE!K$1</f>
        <v>45869</v>
      </c>
      <c r="B167" s="20" t="s">
        <v>82</v>
      </c>
      <c r="C167" s="20" t="s">
        <v>83</v>
      </c>
      <c r="D167" s="21">
        <f>SE!K18</f>
        <v>63.282462558237192</v>
      </c>
    </row>
    <row r="168" spans="1:4" hidden="1" x14ac:dyDescent="0.25">
      <c r="A168" s="19">
        <f>SE!L$1</f>
        <v>45900</v>
      </c>
      <c r="B168" s="20" t="s">
        <v>82</v>
      </c>
      <c r="C168" s="20" t="s">
        <v>83</v>
      </c>
      <c r="D168" s="21">
        <f>SE!L18</f>
        <v>58.638949590079484</v>
      </c>
    </row>
    <row r="169" spans="1:4" hidden="1" x14ac:dyDescent="0.25">
      <c r="A169" s="19">
        <f>SE!M$1</f>
        <v>45930</v>
      </c>
      <c r="B169" s="20" t="s">
        <v>82</v>
      </c>
      <c r="C169" s="20" t="s">
        <v>83</v>
      </c>
      <c r="D169" s="21">
        <f>SE!M18</f>
        <v>56.605967917028273</v>
      </c>
    </row>
    <row r="170" spans="1:4" hidden="1" x14ac:dyDescent="0.25">
      <c r="A170" s="19">
        <f>SE!B$1</f>
        <v>45596</v>
      </c>
      <c r="B170" s="20" t="s">
        <v>82</v>
      </c>
      <c r="C170" s="20" t="s">
        <v>84</v>
      </c>
      <c r="D170" s="21">
        <f>SE!B19</f>
        <v>0</v>
      </c>
    </row>
    <row r="171" spans="1:4" hidden="1" x14ac:dyDescent="0.25">
      <c r="A171" s="19">
        <f>SE!C$1</f>
        <v>45626</v>
      </c>
      <c r="B171" s="20" t="s">
        <v>82</v>
      </c>
      <c r="C171" s="20" t="s">
        <v>84</v>
      </c>
      <c r="D171" s="21">
        <f>SE!C19</f>
        <v>0</v>
      </c>
    </row>
    <row r="172" spans="1:4" hidden="1" x14ac:dyDescent="0.25">
      <c r="A172" s="19">
        <f>SE!D$1</f>
        <v>45657</v>
      </c>
      <c r="B172" s="20" t="s">
        <v>82</v>
      </c>
      <c r="C172" s="20" t="s">
        <v>84</v>
      </c>
      <c r="D172" s="21">
        <f>SE!D19</f>
        <v>0</v>
      </c>
    </row>
    <row r="173" spans="1:4" hidden="1" x14ac:dyDescent="0.25">
      <c r="A173" s="19">
        <f>SE!E$1</f>
        <v>45688</v>
      </c>
      <c r="B173" s="20" t="s">
        <v>82</v>
      </c>
      <c r="C173" s="20" t="s">
        <v>84</v>
      </c>
      <c r="D173" s="21">
        <f>SE!E19</f>
        <v>0</v>
      </c>
    </row>
    <row r="174" spans="1:4" hidden="1" x14ac:dyDescent="0.25">
      <c r="A174" s="19">
        <f>SE!F$1</f>
        <v>45716</v>
      </c>
      <c r="B174" s="20" t="s">
        <v>82</v>
      </c>
      <c r="C174" s="20" t="s">
        <v>84</v>
      </c>
      <c r="D174" s="21">
        <f>SE!F19</f>
        <v>0</v>
      </c>
    </row>
    <row r="175" spans="1:4" hidden="1" x14ac:dyDescent="0.25">
      <c r="A175" s="19">
        <f>SE!G$1</f>
        <v>45747</v>
      </c>
      <c r="B175" s="20" t="s">
        <v>82</v>
      </c>
      <c r="C175" s="20" t="s">
        <v>84</v>
      </c>
      <c r="D175" s="21">
        <f>SE!G19</f>
        <v>0</v>
      </c>
    </row>
    <row r="176" spans="1:4" hidden="1" x14ac:dyDescent="0.25">
      <c r="A176" s="19">
        <f>SE!H$1</f>
        <v>45777</v>
      </c>
      <c r="B176" s="20" t="s">
        <v>82</v>
      </c>
      <c r="C176" s="20" t="s">
        <v>84</v>
      </c>
      <c r="D176" s="21">
        <f>SE!H19</f>
        <v>0</v>
      </c>
    </row>
    <row r="177" spans="1:4" hidden="1" x14ac:dyDescent="0.25">
      <c r="A177" s="19">
        <f>SE!I$1</f>
        <v>45808</v>
      </c>
      <c r="B177" s="20" t="s">
        <v>82</v>
      </c>
      <c r="C177" s="20" t="s">
        <v>84</v>
      </c>
      <c r="D177" s="21">
        <f>SE!I19</f>
        <v>0</v>
      </c>
    </row>
    <row r="178" spans="1:4" hidden="1" x14ac:dyDescent="0.25">
      <c r="A178" s="19">
        <f>SE!J$1</f>
        <v>45838</v>
      </c>
      <c r="B178" s="20" t="s">
        <v>82</v>
      </c>
      <c r="C178" s="20" t="s">
        <v>84</v>
      </c>
      <c r="D178" s="21">
        <f>SE!J19</f>
        <v>0</v>
      </c>
    </row>
    <row r="179" spans="1:4" hidden="1" x14ac:dyDescent="0.25">
      <c r="A179" s="19">
        <f>SE!K$1</f>
        <v>45869</v>
      </c>
      <c r="B179" s="20" t="s">
        <v>82</v>
      </c>
      <c r="C179" s="20" t="s">
        <v>84</v>
      </c>
      <c r="D179" s="21">
        <f>SE!K19</f>
        <v>0</v>
      </c>
    </row>
    <row r="180" spans="1:4" hidden="1" x14ac:dyDescent="0.25">
      <c r="A180" s="19">
        <f>SE!L$1</f>
        <v>45900</v>
      </c>
      <c r="B180" s="20" t="s">
        <v>82</v>
      </c>
      <c r="C180" s="20" t="s">
        <v>84</v>
      </c>
      <c r="D180" s="21">
        <f>SE!L19</f>
        <v>0</v>
      </c>
    </row>
    <row r="181" spans="1:4" hidden="1" x14ac:dyDescent="0.25">
      <c r="A181" s="19">
        <f>SE!M$1</f>
        <v>45930</v>
      </c>
      <c r="B181" s="20" t="s">
        <v>82</v>
      </c>
      <c r="C181" s="20" t="s">
        <v>84</v>
      </c>
      <c r="D181" s="21">
        <f>SE!M19</f>
        <v>0</v>
      </c>
    </row>
    <row r="182" spans="1:4" hidden="1" x14ac:dyDescent="0.25">
      <c r="A182" s="19">
        <f>SE!B$1</f>
        <v>45596</v>
      </c>
      <c r="B182" s="20" t="s">
        <v>82</v>
      </c>
      <c r="C182" s="20" t="s">
        <v>85</v>
      </c>
      <c r="D182" s="21">
        <f>SE!B20</f>
        <v>54.977935481292569</v>
      </c>
    </row>
    <row r="183" spans="1:4" hidden="1" x14ac:dyDescent="0.25">
      <c r="A183" s="19">
        <f>SE!C$1</f>
        <v>45626</v>
      </c>
      <c r="B183" s="20" t="s">
        <v>82</v>
      </c>
      <c r="C183" s="20" t="s">
        <v>85</v>
      </c>
      <c r="D183" s="21">
        <f>SE!C20</f>
        <v>55.735894508848439</v>
      </c>
    </row>
    <row r="184" spans="1:4" hidden="1" x14ac:dyDescent="0.25">
      <c r="A184" s="19">
        <f>SE!D$1</f>
        <v>45657</v>
      </c>
      <c r="B184" s="20" t="s">
        <v>82</v>
      </c>
      <c r="C184" s="20" t="s">
        <v>85</v>
      </c>
      <c r="D184" s="21">
        <f>SE!D20</f>
        <v>53.962675305610297</v>
      </c>
    </row>
    <row r="185" spans="1:4" hidden="1" x14ac:dyDescent="0.25">
      <c r="A185" s="19">
        <f>SE!E$1</f>
        <v>45688</v>
      </c>
      <c r="B185" s="20" t="s">
        <v>82</v>
      </c>
      <c r="C185" s="20" t="s">
        <v>85</v>
      </c>
      <c r="D185" s="21">
        <f>SE!E20</f>
        <v>57.800019907545895</v>
      </c>
    </row>
    <row r="186" spans="1:4" hidden="1" x14ac:dyDescent="0.25">
      <c r="A186" s="19">
        <f>SE!F$1</f>
        <v>45716</v>
      </c>
      <c r="B186" s="20" t="s">
        <v>82</v>
      </c>
      <c r="C186" s="20" t="s">
        <v>85</v>
      </c>
      <c r="D186" s="21">
        <f>SE!F20</f>
        <v>53.437056654200816</v>
      </c>
    </row>
    <row r="187" spans="1:4" hidden="1" x14ac:dyDescent="0.25">
      <c r="A187" s="19">
        <f>SE!G$1</f>
        <v>45747</v>
      </c>
      <c r="B187" s="20" t="s">
        <v>82</v>
      </c>
      <c r="C187" s="20" t="s">
        <v>85</v>
      </c>
      <c r="D187" s="21">
        <f>SE!G20</f>
        <v>51.744048046515751</v>
      </c>
    </row>
    <row r="188" spans="1:4" hidden="1" x14ac:dyDescent="0.25">
      <c r="A188" s="19">
        <f>SE!H$1</f>
        <v>45777</v>
      </c>
      <c r="B188" s="20" t="s">
        <v>82</v>
      </c>
      <c r="C188" s="20" t="s">
        <v>85</v>
      </c>
      <c r="D188" s="21">
        <f>SE!H20</f>
        <v>48.328792779743502</v>
      </c>
    </row>
    <row r="189" spans="1:4" hidden="1" x14ac:dyDescent="0.25">
      <c r="A189" s="19">
        <f>SE!I$1</f>
        <v>45808</v>
      </c>
      <c r="B189" s="20" t="s">
        <v>82</v>
      </c>
      <c r="C189" s="20" t="s">
        <v>85</v>
      </c>
      <c r="D189" s="21">
        <f>SE!I20</f>
        <v>48.180943522661003</v>
      </c>
    </row>
    <row r="190" spans="1:4" hidden="1" x14ac:dyDescent="0.25">
      <c r="A190" s="19">
        <f>SE!J$1</f>
        <v>45838</v>
      </c>
      <c r="B190" s="20" t="s">
        <v>82</v>
      </c>
      <c r="C190" s="20" t="s">
        <v>85</v>
      </c>
      <c r="D190" s="21">
        <f>SE!J20</f>
        <v>47.447350364976252</v>
      </c>
    </row>
    <row r="191" spans="1:4" hidden="1" x14ac:dyDescent="0.25">
      <c r="A191" s="19">
        <f>SE!K$1</f>
        <v>45869</v>
      </c>
      <c r="B191" s="20" t="s">
        <v>82</v>
      </c>
      <c r="C191" s="20" t="s">
        <v>85</v>
      </c>
      <c r="D191" s="21">
        <f>SE!K20</f>
        <v>45.201466744243</v>
      </c>
    </row>
    <row r="192" spans="1:4" hidden="1" x14ac:dyDescent="0.25">
      <c r="A192" s="19">
        <f>SE!L$1</f>
        <v>45900</v>
      </c>
      <c r="B192" s="20" t="s">
        <v>82</v>
      </c>
      <c r="C192" s="20" t="s">
        <v>85</v>
      </c>
      <c r="D192" s="21">
        <f>SE!L20</f>
        <v>47.730900472415989</v>
      </c>
    </row>
    <row r="193" spans="1:4" hidden="1" x14ac:dyDescent="0.25">
      <c r="A193" s="19">
        <f>SE!M$1</f>
        <v>45930</v>
      </c>
      <c r="B193" s="20" t="s">
        <v>82</v>
      </c>
      <c r="C193" s="20" t="s">
        <v>85</v>
      </c>
      <c r="D193" s="21">
        <f>SE!M20</f>
        <v>47.411778707787114</v>
      </c>
    </row>
    <row r="194" spans="1:4" hidden="1" x14ac:dyDescent="0.25">
      <c r="A194" s="19">
        <f>SE!B$1</f>
        <v>45596</v>
      </c>
      <c r="B194" s="20" t="s">
        <v>86</v>
      </c>
      <c r="C194" s="20" t="s">
        <v>26</v>
      </c>
      <c r="D194" s="21">
        <f>SE!B22</f>
        <v>71.989999999999995</v>
      </c>
    </row>
    <row r="195" spans="1:4" hidden="1" x14ac:dyDescent="0.25">
      <c r="A195" s="19">
        <f>SE!C$1</f>
        <v>45626</v>
      </c>
      <c r="B195" s="20" t="s">
        <v>86</v>
      </c>
      <c r="C195" s="20" t="s">
        <v>26</v>
      </c>
      <c r="D195" s="21">
        <f>SE!C22</f>
        <v>69.95</v>
      </c>
    </row>
    <row r="196" spans="1:4" hidden="1" x14ac:dyDescent="0.25">
      <c r="A196" s="19">
        <f>SE!D$1</f>
        <v>45657</v>
      </c>
      <c r="B196" s="20" t="s">
        <v>86</v>
      </c>
      <c r="C196" s="20" t="s">
        <v>26</v>
      </c>
      <c r="D196" s="21">
        <f>SE!D22</f>
        <v>70.12</v>
      </c>
    </row>
    <row r="197" spans="1:4" hidden="1" x14ac:dyDescent="0.25">
      <c r="A197" s="19">
        <f>SE!E$1</f>
        <v>45688</v>
      </c>
      <c r="B197" s="20" t="s">
        <v>86</v>
      </c>
      <c r="C197" s="20" t="s">
        <v>26</v>
      </c>
      <c r="D197" s="21">
        <f>SE!E22</f>
        <v>75.739999999999995</v>
      </c>
    </row>
    <row r="198" spans="1:4" hidden="1" x14ac:dyDescent="0.25">
      <c r="A198" s="19">
        <f>SE!F$1</f>
        <v>45716</v>
      </c>
      <c r="B198" s="20" t="s">
        <v>86</v>
      </c>
      <c r="C198" s="20" t="s">
        <v>26</v>
      </c>
      <c r="D198" s="21">
        <f>SE!F22</f>
        <v>71.53</v>
      </c>
    </row>
    <row r="199" spans="1:4" hidden="1" x14ac:dyDescent="0.25">
      <c r="A199" s="19">
        <f>SE!G$1</f>
        <v>45747</v>
      </c>
      <c r="B199" s="20" t="s">
        <v>86</v>
      </c>
      <c r="C199" s="20" t="s">
        <v>26</v>
      </c>
      <c r="D199" s="21">
        <f>SE!G22</f>
        <v>68.239999999999995</v>
      </c>
    </row>
    <row r="200" spans="1:4" hidden="1" x14ac:dyDescent="0.25">
      <c r="A200" s="19">
        <f>SE!H$1</f>
        <v>45777</v>
      </c>
      <c r="B200" s="20" t="s">
        <v>86</v>
      </c>
      <c r="C200" s="20" t="s">
        <v>26</v>
      </c>
      <c r="D200" s="21">
        <f>SE!H22</f>
        <v>63.54</v>
      </c>
    </row>
    <row r="201" spans="1:4" hidden="1" x14ac:dyDescent="0.25">
      <c r="A201" s="19">
        <f>SE!I$1</f>
        <v>45808</v>
      </c>
      <c r="B201" s="20" t="s">
        <v>86</v>
      </c>
      <c r="C201" s="20" t="s">
        <v>26</v>
      </c>
      <c r="D201" s="21">
        <f>SE!I22</f>
        <v>62.17</v>
      </c>
    </row>
    <row r="202" spans="1:4" hidden="1" x14ac:dyDescent="0.25">
      <c r="A202" s="19">
        <f>SE!J$1</f>
        <v>45838</v>
      </c>
      <c r="B202" s="20" t="s">
        <v>86</v>
      </c>
      <c r="C202" s="20" t="s">
        <v>26</v>
      </c>
      <c r="D202" s="21">
        <f>SE!J22</f>
        <v>68.17</v>
      </c>
    </row>
    <row r="203" spans="1:4" hidden="1" x14ac:dyDescent="0.25">
      <c r="A203" s="19">
        <f>SE!K$1</f>
        <v>45869</v>
      </c>
      <c r="B203" s="20" t="s">
        <v>86</v>
      </c>
      <c r="C203" s="20" t="s">
        <v>26</v>
      </c>
      <c r="D203" s="21">
        <f>SE!K22</f>
        <v>68.39</v>
      </c>
    </row>
    <row r="204" spans="1:4" hidden="1" x14ac:dyDescent="0.25">
      <c r="A204" s="19">
        <f>SE!L$1</f>
        <v>45900</v>
      </c>
      <c r="B204" s="20" t="s">
        <v>86</v>
      </c>
      <c r="C204" s="20" t="s">
        <v>26</v>
      </c>
      <c r="D204" s="21">
        <f>SE!L22</f>
        <v>64.86</v>
      </c>
    </row>
    <row r="205" spans="1:4" hidden="1" x14ac:dyDescent="0.25">
      <c r="A205" s="19">
        <f>SE!M$1</f>
        <v>45930</v>
      </c>
      <c r="B205" s="20" t="s">
        <v>86</v>
      </c>
      <c r="C205" s="20" t="s">
        <v>26</v>
      </c>
      <c r="D205" s="21">
        <f>SE!M22</f>
        <v>63.96</v>
      </c>
    </row>
    <row r="206" spans="1:4" hidden="1" x14ac:dyDescent="0.25">
      <c r="A206" s="19">
        <f>SE!B$1</f>
        <v>45596</v>
      </c>
      <c r="B206" s="20" t="s">
        <v>86</v>
      </c>
      <c r="C206" s="20" t="s">
        <v>27</v>
      </c>
      <c r="D206" s="21">
        <f>SE!B23</f>
        <v>2.2000000000000002</v>
      </c>
    </row>
    <row r="207" spans="1:4" hidden="1" x14ac:dyDescent="0.25">
      <c r="A207" s="19">
        <f>SE!C$1</f>
        <v>45626</v>
      </c>
      <c r="B207" s="20" t="s">
        <v>86</v>
      </c>
      <c r="C207" s="20" t="s">
        <v>27</v>
      </c>
      <c r="D207" s="21">
        <f>SE!C23</f>
        <v>2.12</v>
      </c>
    </row>
    <row r="208" spans="1:4" hidden="1" x14ac:dyDescent="0.25">
      <c r="A208" s="19">
        <f>SE!D$1</f>
        <v>45657</v>
      </c>
      <c r="B208" s="20" t="s">
        <v>86</v>
      </c>
      <c r="C208" s="20" t="s">
        <v>27</v>
      </c>
      <c r="D208" s="21">
        <f>SE!D23</f>
        <v>3.01</v>
      </c>
    </row>
    <row r="209" spans="1:4" hidden="1" x14ac:dyDescent="0.25">
      <c r="A209" s="19">
        <f>SE!E$1</f>
        <v>45688</v>
      </c>
      <c r="B209" s="20" t="s">
        <v>86</v>
      </c>
      <c r="C209" s="20" t="s">
        <v>27</v>
      </c>
      <c r="D209" s="21">
        <f>SE!E23</f>
        <v>4.13</v>
      </c>
    </row>
    <row r="210" spans="1:4" hidden="1" x14ac:dyDescent="0.25">
      <c r="A210" s="19">
        <f>SE!F$1</f>
        <v>45716</v>
      </c>
      <c r="B210" s="20" t="s">
        <v>86</v>
      </c>
      <c r="C210" s="20" t="s">
        <v>27</v>
      </c>
      <c r="D210" s="21">
        <f>SE!F23</f>
        <v>4.1900000000000004</v>
      </c>
    </row>
    <row r="211" spans="1:4" hidden="1" x14ac:dyDescent="0.25">
      <c r="A211" s="19">
        <f>SE!G$1</f>
        <v>45747</v>
      </c>
      <c r="B211" s="20" t="s">
        <v>86</v>
      </c>
      <c r="C211" s="20" t="s">
        <v>27</v>
      </c>
      <c r="D211" s="21">
        <f>SE!G23</f>
        <v>4.12</v>
      </c>
    </row>
    <row r="212" spans="1:4" hidden="1" x14ac:dyDescent="0.25">
      <c r="A212" s="19">
        <f>SE!H$1</f>
        <v>45777</v>
      </c>
      <c r="B212" s="20" t="s">
        <v>86</v>
      </c>
      <c r="C212" s="20" t="s">
        <v>27</v>
      </c>
      <c r="D212" s="21">
        <f>SE!H23</f>
        <v>3.42</v>
      </c>
    </row>
    <row r="213" spans="1:4" hidden="1" x14ac:dyDescent="0.25">
      <c r="A213" s="19">
        <f>SE!I$1</f>
        <v>45808</v>
      </c>
      <c r="B213" s="20" t="s">
        <v>86</v>
      </c>
      <c r="C213" s="20" t="s">
        <v>27</v>
      </c>
      <c r="D213" s="21">
        <f>SE!I23</f>
        <v>3.12</v>
      </c>
    </row>
    <row r="214" spans="1:4" hidden="1" x14ac:dyDescent="0.25">
      <c r="A214" s="19">
        <f>SE!J$1</f>
        <v>45838</v>
      </c>
      <c r="B214" s="20" t="s">
        <v>86</v>
      </c>
      <c r="C214" s="20" t="s">
        <v>27</v>
      </c>
      <c r="D214" s="21">
        <f>SE!J23</f>
        <v>3.02</v>
      </c>
    </row>
    <row r="215" spans="1:4" hidden="1" x14ac:dyDescent="0.25">
      <c r="A215" s="19">
        <f>SE!K$1</f>
        <v>45869</v>
      </c>
      <c r="B215" s="20" t="s">
        <v>86</v>
      </c>
      <c r="C215" s="20" t="s">
        <v>27</v>
      </c>
      <c r="D215" s="21">
        <f>SE!K23</f>
        <v>3.2</v>
      </c>
    </row>
    <row r="216" spans="1:4" hidden="1" x14ac:dyDescent="0.25">
      <c r="A216" s="19">
        <f>SE!L$1</f>
        <v>45900</v>
      </c>
      <c r="B216" s="20" t="s">
        <v>86</v>
      </c>
      <c r="C216" s="20" t="s">
        <v>27</v>
      </c>
      <c r="D216" s="21">
        <f>SE!L23</f>
        <v>2.91</v>
      </c>
    </row>
    <row r="217" spans="1:4" hidden="1" x14ac:dyDescent="0.25">
      <c r="A217" s="19">
        <f>SE!M$1</f>
        <v>45930</v>
      </c>
      <c r="B217" s="20" t="s">
        <v>86</v>
      </c>
      <c r="C217" s="20" t="s">
        <v>27</v>
      </c>
      <c r="D217" s="21">
        <f>SE!M23</f>
        <v>2.97</v>
      </c>
    </row>
    <row r="218" spans="1:4" x14ac:dyDescent="0.25">
      <c r="A218" s="19">
        <f>SE!B$1</f>
        <v>45596</v>
      </c>
      <c r="B218" s="20" t="s">
        <v>87</v>
      </c>
      <c r="C218" s="20" t="s">
        <v>30</v>
      </c>
      <c r="D218" s="21">
        <f>SE!B25</f>
        <v>-9.036360132774135</v>
      </c>
    </row>
    <row r="219" spans="1:4" x14ac:dyDescent="0.25">
      <c r="A219" s="19">
        <f>SE!C$1</f>
        <v>45626</v>
      </c>
      <c r="B219" s="20" t="s">
        <v>87</v>
      </c>
      <c r="C219" s="20" t="s">
        <v>30</v>
      </c>
      <c r="D219" s="21">
        <f>SE!C25</f>
        <v>-7.3864848566032038</v>
      </c>
    </row>
    <row r="220" spans="1:4" x14ac:dyDescent="0.25">
      <c r="A220" s="19">
        <f>SE!D$1</f>
        <v>45657</v>
      </c>
      <c r="B220" s="20" t="s">
        <v>87</v>
      </c>
      <c r="C220" s="20" t="s">
        <v>30</v>
      </c>
      <c r="D220" s="21">
        <f>SE!D25</f>
        <v>-7.408716722971775</v>
      </c>
    </row>
    <row r="221" spans="1:4" x14ac:dyDescent="0.25">
      <c r="A221" s="19">
        <f>SE!E$1</f>
        <v>45688</v>
      </c>
      <c r="B221" s="20" t="s">
        <v>87</v>
      </c>
      <c r="C221" s="20" t="s">
        <v>30</v>
      </c>
      <c r="D221" s="21">
        <f>SE!E25</f>
        <v>-7.9663313950350698</v>
      </c>
    </row>
    <row r="222" spans="1:4" x14ac:dyDescent="0.25">
      <c r="A222" s="19">
        <f>SE!F$1</f>
        <v>45716</v>
      </c>
      <c r="B222" s="20" t="s">
        <v>87</v>
      </c>
      <c r="C222" s="20" t="s">
        <v>30</v>
      </c>
      <c r="D222" s="21">
        <f>SE!F25</f>
        <v>-7.530300213448065</v>
      </c>
    </row>
    <row r="223" spans="1:4" x14ac:dyDescent="0.25">
      <c r="A223" s="19">
        <f>SE!G$1</f>
        <v>45747</v>
      </c>
      <c r="B223" s="20" t="s">
        <v>87</v>
      </c>
      <c r="C223" s="20" t="s">
        <v>30</v>
      </c>
      <c r="D223" s="21">
        <f>SE!G25</f>
        <v>-8.8957174111351094</v>
      </c>
    </row>
    <row r="224" spans="1:4" x14ac:dyDescent="0.25">
      <c r="A224" s="19">
        <f>SE!H$1</f>
        <v>45777</v>
      </c>
      <c r="B224" s="20" t="s">
        <v>87</v>
      </c>
      <c r="C224" s="20" t="s">
        <v>30</v>
      </c>
      <c r="D224" s="21">
        <f>SE!H25</f>
        <v>-7.8172279455890603</v>
      </c>
    </row>
    <row r="225" spans="1:4" x14ac:dyDescent="0.25">
      <c r="A225" s="19">
        <f>SE!I$1</f>
        <v>45808</v>
      </c>
      <c r="B225" s="20" t="s">
        <v>87</v>
      </c>
      <c r="C225" s="20" t="s">
        <v>30</v>
      </c>
      <c r="D225" s="21">
        <f>SE!I25</f>
        <v>-5.7095380891815068</v>
      </c>
    </row>
    <row r="226" spans="1:4" x14ac:dyDescent="0.25">
      <c r="A226" s="19">
        <f>SE!J$1</f>
        <v>45838</v>
      </c>
      <c r="B226" s="20" t="s">
        <v>87</v>
      </c>
      <c r="C226" s="20" t="s">
        <v>30</v>
      </c>
      <c r="D226" s="21">
        <f>SE!J25</f>
        <v>-5.0128254763953564</v>
      </c>
    </row>
    <row r="227" spans="1:4" x14ac:dyDescent="0.25">
      <c r="A227" s="19">
        <f>SE!K$1</f>
        <v>45869</v>
      </c>
      <c r="B227" s="20" t="s">
        <v>87</v>
      </c>
      <c r="C227" s="20" t="s">
        <v>30</v>
      </c>
      <c r="D227" s="21">
        <f>SE!K25</f>
        <v>-5.1075374417628083</v>
      </c>
    </row>
    <row r="228" spans="1:4" x14ac:dyDescent="0.25">
      <c r="A228" s="19">
        <f>SE!L$1</f>
        <v>45900</v>
      </c>
      <c r="B228" s="20" t="s">
        <v>87</v>
      </c>
      <c r="C228" s="20" t="s">
        <v>30</v>
      </c>
      <c r="D228" s="21">
        <f>SE!L25</f>
        <v>-6.2210504099205153</v>
      </c>
    </row>
    <row r="229" spans="1:4" x14ac:dyDescent="0.25">
      <c r="A229" s="19">
        <f>SE!M$1</f>
        <v>45930</v>
      </c>
      <c r="B229" s="20" t="s">
        <v>87</v>
      </c>
      <c r="C229" s="20" t="s">
        <v>30</v>
      </c>
      <c r="D229" s="21">
        <f>SE!M25</f>
        <v>-7.3540320829717274</v>
      </c>
    </row>
    <row r="230" spans="1:4" hidden="1" x14ac:dyDescent="0.25">
      <c r="A230" s="19">
        <f>SE!B$1</f>
        <v>45596</v>
      </c>
      <c r="B230" s="20" t="s">
        <v>87</v>
      </c>
      <c r="C230" s="20" t="s">
        <v>31</v>
      </c>
      <c r="D230" s="21">
        <f>SE!B26</f>
        <v>0</v>
      </c>
    </row>
    <row r="231" spans="1:4" hidden="1" x14ac:dyDescent="0.25">
      <c r="A231" s="19">
        <f>SE!C$1</f>
        <v>45626</v>
      </c>
      <c r="B231" s="20" t="s">
        <v>87</v>
      </c>
      <c r="C231" s="20" t="s">
        <v>31</v>
      </c>
      <c r="D231" s="21">
        <f>SE!C26</f>
        <v>0</v>
      </c>
    </row>
    <row r="232" spans="1:4" hidden="1" x14ac:dyDescent="0.25">
      <c r="A232" s="19">
        <f>SE!D$1</f>
        <v>45657</v>
      </c>
      <c r="B232" s="20" t="s">
        <v>87</v>
      </c>
      <c r="C232" s="20" t="s">
        <v>31</v>
      </c>
      <c r="D232" s="21">
        <f>SE!D26</f>
        <v>0</v>
      </c>
    </row>
    <row r="233" spans="1:4" hidden="1" x14ac:dyDescent="0.25">
      <c r="A233" s="19">
        <f>SE!E$1</f>
        <v>45688</v>
      </c>
      <c r="B233" s="20" t="s">
        <v>87</v>
      </c>
      <c r="C233" s="20" t="s">
        <v>31</v>
      </c>
      <c r="D233" s="21">
        <f>SE!E26</f>
        <v>0</v>
      </c>
    </row>
    <row r="234" spans="1:4" hidden="1" x14ac:dyDescent="0.25">
      <c r="A234" s="19">
        <f>SE!F$1</f>
        <v>45716</v>
      </c>
      <c r="B234" s="20" t="s">
        <v>87</v>
      </c>
      <c r="C234" s="20" t="s">
        <v>31</v>
      </c>
      <c r="D234" s="21">
        <f>SE!F26</f>
        <v>0</v>
      </c>
    </row>
    <row r="235" spans="1:4" hidden="1" x14ac:dyDescent="0.25">
      <c r="A235" s="19">
        <f>SE!G$1</f>
        <v>45747</v>
      </c>
      <c r="B235" s="20" t="s">
        <v>87</v>
      </c>
      <c r="C235" s="20" t="s">
        <v>31</v>
      </c>
      <c r="D235" s="21">
        <f>SE!G26</f>
        <v>0</v>
      </c>
    </row>
    <row r="236" spans="1:4" hidden="1" x14ac:dyDescent="0.25">
      <c r="A236" s="19">
        <f>SE!H$1</f>
        <v>45777</v>
      </c>
      <c r="B236" s="20" t="s">
        <v>87</v>
      </c>
      <c r="C236" s="20" t="s">
        <v>31</v>
      </c>
      <c r="D236" s="21">
        <f>SE!H26</f>
        <v>0</v>
      </c>
    </row>
    <row r="237" spans="1:4" hidden="1" x14ac:dyDescent="0.25">
      <c r="A237" s="19">
        <f>SE!I$1</f>
        <v>45808</v>
      </c>
      <c r="B237" s="20" t="s">
        <v>87</v>
      </c>
      <c r="C237" s="20" t="s">
        <v>31</v>
      </c>
      <c r="D237" s="21">
        <f>SE!I26</f>
        <v>0</v>
      </c>
    </row>
    <row r="238" spans="1:4" hidden="1" x14ac:dyDescent="0.25">
      <c r="A238" s="19">
        <f>SE!J$1</f>
        <v>45838</v>
      </c>
      <c r="B238" s="20" t="s">
        <v>87</v>
      </c>
      <c r="C238" s="20" t="s">
        <v>31</v>
      </c>
      <c r="D238" s="21">
        <f>SE!J26</f>
        <v>0</v>
      </c>
    </row>
    <row r="239" spans="1:4" hidden="1" x14ac:dyDescent="0.25">
      <c r="A239" s="19">
        <f>SE!K$1</f>
        <v>45869</v>
      </c>
      <c r="B239" s="20" t="s">
        <v>87</v>
      </c>
      <c r="C239" s="20" t="s">
        <v>31</v>
      </c>
      <c r="D239" s="21">
        <f>SE!K26</f>
        <v>0</v>
      </c>
    </row>
    <row r="240" spans="1:4" hidden="1" x14ac:dyDescent="0.25">
      <c r="A240" s="19">
        <f>SE!L$1</f>
        <v>45900</v>
      </c>
      <c r="B240" s="20" t="s">
        <v>87</v>
      </c>
      <c r="C240" s="20" t="s">
        <v>31</v>
      </c>
      <c r="D240" s="21">
        <f>SE!L26</f>
        <v>0</v>
      </c>
    </row>
    <row r="241" spans="1:4" hidden="1" x14ac:dyDescent="0.25">
      <c r="A241" s="19">
        <f>SE!M$1</f>
        <v>45930</v>
      </c>
      <c r="B241" s="20" t="s">
        <v>87</v>
      </c>
      <c r="C241" s="20" t="s">
        <v>31</v>
      </c>
      <c r="D241" s="21">
        <f>SE!M26</f>
        <v>0</v>
      </c>
    </row>
    <row r="242" spans="1:4" hidden="1" x14ac:dyDescent="0.25">
      <c r="A242" s="19">
        <f>SE!B$1</f>
        <v>45596</v>
      </c>
      <c r="B242" s="20" t="s">
        <v>87</v>
      </c>
      <c r="C242" s="20" t="s">
        <v>32</v>
      </c>
      <c r="D242" s="21">
        <f>SE!B27</f>
        <v>0.76368850508810349</v>
      </c>
    </row>
    <row r="243" spans="1:4" hidden="1" x14ac:dyDescent="0.25">
      <c r="A243" s="19">
        <f>SE!C$1</f>
        <v>45626</v>
      </c>
      <c r="B243" s="20" t="s">
        <v>87</v>
      </c>
      <c r="C243" s="20" t="s">
        <v>32</v>
      </c>
      <c r="D243" s="21">
        <f>SE!C27</f>
        <v>0.79679620455823352</v>
      </c>
    </row>
    <row r="244" spans="1:4" hidden="1" x14ac:dyDescent="0.25">
      <c r="A244" s="19">
        <f>SE!D$1</f>
        <v>45657</v>
      </c>
      <c r="B244" s="20" t="s">
        <v>87</v>
      </c>
      <c r="C244" s="20" t="s">
        <v>32</v>
      </c>
      <c r="D244" s="21">
        <f>SE!D27</f>
        <v>0.7695760882146363</v>
      </c>
    </row>
    <row r="245" spans="1:4" hidden="1" x14ac:dyDescent="0.25">
      <c r="A245" s="19">
        <f>SE!E$1</f>
        <v>45688</v>
      </c>
      <c r="B245" s="20" t="s">
        <v>87</v>
      </c>
      <c r="C245" s="20" t="s">
        <v>32</v>
      </c>
      <c r="D245" s="21">
        <f>SE!E27</f>
        <v>0.76313731063567336</v>
      </c>
    </row>
    <row r="246" spans="1:4" hidden="1" x14ac:dyDescent="0.25">
      <c r="A246" s="19">
        <f>SE!F$1</f>
        <v>45716</v>
      </c>
      <c r="B246" s="20" t="s">
        <v>87</v>
      </c>
      <c r="C246" s="20" t="s">
        <v>32</v>
      </c>
      <c r="D246" s="21">
        <f>SE!F27</f>
        <v>0.7470579708402183</v>
      </c>
    </row>
    <row r="247" spans="1:4" hidden="1" x14ac:dyDescent="0.25">
      <c r="A247" s="19">
        <f>SE!G$1</f>
        <v>45747</v>
      </c>
      <c r="B247" s="20" t="s">
        <v>87</v>
      </c>
      <c r="C247" s="20" t="s">
        <v>32</v>
      </c>
      <c r="D247" s="21">
        <f>SE!G27</f>
        <v>0.75826565132643253</v>
      </c>
    </row>
    <row r="248" spans="1:4" hidden="1" x14ac:dyDescent="0.25">
      <c r="A248" s="19">
        <f>SE!H$1</f>
        <v>45777</v>
      </c>
      <c r="B248" s="20" t="s">
        <v>87</v>
      </c>
      <c r="C248" s="20" t="s">
        <v>32</v>
      </c>
      <c r="D248" s="21">
        <f>SE!H27</f>
        <v>0.76060423008724432</v>
      </c>
    </row>
    <row r="249" spans="1:4" hidden="1" x14ac:dyDescent="0.25">
      <c r="A249" s="19">
        <f>SE!I$1</f>
        <v>45808</v>
      </c>
      <c r="B249" s="20" t="s">
        <v>87</v>
      </c>
      <c r="C249" s="20" t="s">
        <v>32</v>
      </c>
      <c r="D249" s="21">
        <f>SE!I27</f>
        <v>0.77498702786972817</v>
      </c>
    </row>
    <row r="250" spans="1:4" hidden="1" x14ac:dyDescent="0.25">
      <c r="A250" s="19">
        <f>SE!J$1</f>
        <v>45838</v>
      </c>
      <c r="B250" s="20" t="s">
        <v>87</v>
      </c>
      <c r="C250" s="20" t="s">
        <v>32</v>
      </c>
      <c r="D250" s="21">
        <f>SE!J27</f>
        <v>0.69601511463952248</v>
      </c>
    </row>
    <row r="251" spans="1:4" hidden="1" x14ac:dyDescent="0.25">
      <c r="A251" s="19">
        <f>SE!K$1</f>
        <v>45869</v>
      </c>
      <c r="B251" s="20" t="s">
        <v>87</v>
      </c>
      <c r="C251" s="20" t="s">
        <v>32</v>
      </c>
      <c r="D251" s="21">
        <f>SE!K27</f>
        <v>0.66093678526455624</v>
      </c>
    </row>
    <row r="252" spans="1:4" hidden="1" x14ac:dyDescent="0.25">
      <c r="A252" s="19">
        <f>SE!L$1</f>
        <v>45900</v>
      </c>
      <c r="B252" s="20" t="s">
        <v>87</v>
      </c>
      <c r="C252" s="20" t="s">
        <v>32</v>
      </c>
      <c r="D252" s="21">
        <f>SE!L27</f>
        <v>0.73590657527622561</v>
      </c>
    </row>
    <row r="253" spans="1:4" hidden="1" x14ac:dyDescent="0.25">
      <c r="A253" s="19">
        <f>SE!M$1</f>
        <v>45930</v>
      </c>
      <c r="B253" s="20" t="s">
        <v>87</v>
      </c>
      <c r="C253" s="20" t="s">
        <v>32</v>
      </c>
      <c r="D253" s="21">
        <f>SE!M27</f>
        <v>0.74127233752012378</v>
      </c>
    </row>
    <row r="254" spans="1:4" hidden="1" x14ac:dyDescent="0.25">
      <c r="A254" s="19">
        <f>SE!B$1</f>
        <v>45596</v>
      </c>
      <c r="B254" s="20" t="s">
        <v>88</v>
      </c>
      <c r="C254" s="20" t="s">
        <v>33</v>
      </c>
      <c r="D254" s="21">
        <f>SE!B30</f>
        <v>0</v>
      </c>
    </row>
    <row r="255" spans="1:4" hidden="1" x14ac:dyDescent="0.25">
      <c r="A255" s="19">
        <f>SE!C$1</f>
        <v>45626</v>
      </c>
      <c r="B255" s="20" t="s">
        <v>88</v>
      </c>
      <c r="C255" s="20" t="s">
        <v>33</v>
      </c>
      <c r="D255" s="21">
        <f>SE!C30</f>
        <v>0</v>
      </c>
    </row>
    <row r="256" spans="1:4" hidden="1" x14ac:dyDescent="0.25">
      <c r="A256" s="19">
        <f>SE!D$1</f>
        <v>45657</v>
      </c>
      <c r="B256" s="20" t="s">
        <v>88</v>
      </c>
      <c r="C256" s="20" t="s">
        <v>33</v>
      </c>
      <c r="D256" s="21">
        <f>SE!D30</f>
        <v>0</v>
      </c>
    </row>
    <row r="257" spans="1:4" hidden="1" x14ac:dyDescent="0.25">
      <c r="A257" s="19">
        <f>SE!E$1</f>
        <v>45688</v>
      </c>
      <c r="B257" s="20" t="s">
        <v>88</v>
      </c>
      <c r="C257" s="20" t="s">
        <v>33</v>
      </c>
      <c r="D257" s="21">
        <f>SE!E30</f>
        <v>0</v>
      </c>
    </row>
    <row r="258" spans="1:4" hidden="1" x14ac:dyDescent="0.25">
      <c r="A258" s="19">
        <f>SE!F$1</f>
        <v>45716</v>
      </c>
      <c r="B258" s="20" t="s">
        <v>88</v>
      </c>
      <c r="C258" s="20" t="s">
        <v>33</v>
      </c>
      <c r="D258" s="21">
        <f>SE!F30</f>
        <v>0</v>
      </c>
    </row>
    <row r="259" spans="1:4" hidden="1" x14ac:dyDescent="0.25">
      <c r="A259" s="19">
        <f>SE!G$1</f>
        <v>45747</v>
      </c>
      <c r="B259" s="20" t="s">
        <v>88</v>
      </c>
      <c r="C259" s="20" t="s">
        <v>33</v>
      </c>
      <c r="D259" s="21">
        <f>SE!G30</f>
        <v>0</v>
      </c>
    </row>
    <row r="260" spans="1:4" hidden="1" x14ac:dyDescent="0.25">
      <c r="A260" s="19">
        <f>SE!H$1</f>
        <v>45777</v>
      </c>
      <c r="B260" s="20" t="s">
        <v>88</v>
      </c>
      <c r="C260" s="20" t="s">
        <v>33</v>
      </c>
      <c r="D260" s="21">
        <f>SE!H30</f>
        <v>0</v>
      </c>
    </row>
    <row r="261" spans="1:4" hidden="1" x14ac:dyDescent="0.25">
      <c r="A261" s="19">
        <f>SE!I$1</f>
        <v>45808</v>
      </c>
      <c r="B261" s="20" t="s">
        <v>88</v>
      </c>
      <c r="C261" s="20" t="s">
        <v>33</v>
      </c>
      <c r="D261" s="21">
        <f>SE!I30</f>
        <v>0</v>
      </c>
    </row>
    <row r="262" spans="1:4" hidden="1" x14ac:dyDescent="0.25">
      <c r="A262" s="19">
        <f>SE!J$1</f>
        <v>45838</v>
      </c>
      <c r="B262" s="20" t="s">
        <v>88</v>
      </c>
      <c r="C262" s="20" t="s">
        <v>33</v>
      </c>
      <c r="D262" s="21">
        <f>SE!J30</f>
        <v>0</v>
      </c>
    </row>
    <row r="263" spans="1:4" hidden="1" x14ac:dyDescent="0.25">
      <c r="A263" s="19">
        <f>SE!K$1</f>
        <v>45869</v>
      </c>
      <c r="B263" s="20" t="s">
        <v>88</v>
      </c>
      <c r="C263" s="20" t="s">
        <v>33</v>
      </c>
      <c r="D263" s="21">
        <f>SE!K30</f>
        <v>0</v>
      </c>
    </row>
    <row r="264" spans="1:4" hidden="1" x14ac:dyDescent="0.25">
      <c r="A264" s="19">
        <f>SE!L$1</f>
        <v>45900</v>
      </c>
      <c r="B264" s="20" t="s">
        <v>88</v>
      </c>
      <c r="C264" s="20" t="s">
        <v>33</v>
      </c>
      <c r="D264" s="21">
        <f>SE!L30</f>
        <v>0</v>
      </c>
    </row>
    <row r="265" spans="1:4" hidden="1" x14ac:dyDescent="0.25">
      <c r="A265" s="19">
        <f>SE!M$1</f>
        <v>45930</v>
      </c>
      <c r="B265" s="20" t="s">
        <v>88</v>
      </c>
      <c r="C265" s="20" t="s">
        <v>33</v>
      </c>
      <c r="D265" s="21">
        <f>SE!M30</f>
        <v>0</v>
      </c>
    </row>
    <row r="266" spans="1:4" hidden="1" x14ac:dyDescent="0.25">
      <c r="A266" s="19">
        <f>SE!B$1</f>
        <v>45596</v>
      </c>
      <c r="B266" s="20" t="s">
        <v>88</v>
      </c>
      <c r="C266" s="20" t="s">
        <v>34</v>
      </c>
      <c r="D266" s="21">
        <f>SE!B31</f>
        <v>479.04606999999999</v>
      </c>
    </row>
    <row r="267" spans="1:4" hidden="1" x14ac:dyDescent="0.25">
      <c r="A267" s="19">
        <f>SE!C$1</f>
        <v>45626</v>
      </c>
      <c r="B267" s="20" t="s">
        <v>88</v>
      </c>
      <c r="C267" s="20" t="s">
        <v>34</v>
      </c>
      <c r="D267" s="21">
        <f>SE!C31</f>
        <v>510.89774</v>
      </c>
    </row>
    <row r="268" spans="1:4" hidden="1" x14ac:dyDescent="0.25">
      <c r="A268" s="19">
        <f>SE!D$1</f>
        <v>45657</v>
      </c>
      <c r="B268" s="20" t="s">
        <v>88</v>
      </c>
      <c r="C268" s="20" t="s">
        <v>34</v>
      </c>
      <c r="D268" s="21">
        <f>SE!D31</f>
        <v>484.76979</v>
      </c>
    </row>
    <row r="269" spans="1:4" hidden="1" x14ac:dyDescent="0.25">
      <c r="A269" s="19">
        <f>SE!E$1</f>
        <v>45688</v>
      </c>
      <c r="B269" s="20" t="s">
        <v>88</v>
      </c>
      <c r="C269" s="20" t="s">
        <v>34</v>
      </c>
      <c r="D269" s="21">
        <f>SE!E31</f>
        <v>474.93265000000002</v>
      </c>
    </row>
    <row r="270" spans="1:4" hidden="1" x14ac:dyDescent="0.25">
      <c r="A270" s="19">
        <f>SE!F$1</f>
        <v>45716</v>
      </c>
      <c r="B270" s="20" t="s">
        <v>88</v>
      </c>
      <c r="C270" s="20" t="s">
        <v>34</v>
      </c>
      <c r="D270" s="21">
        <f>SE!F31</f>
        <v>194.40062</v>
      </c>
    </row>
    <row r="271" spans="1:4" hidden="1" x14ac:dyDescent="0.25">
      <c r="A271" s="19">
        <f>SE!G$1</f>
        <v>45747</v>
      </c>
      <c r="B271" s="20" t="s">
        <v>88</v>
      </c>
      <c r="C271" s="20" t="s">
        <v>34</v>
      </c>
      <c r="D271" s="21">
        <f>SE!G31</f>
        <v>503.08429999999998</v>
      </c>
    </row>
    <row r="272" spans="1:4" hidden="1" x14ac:dyDescent="0.25">
      <c r="A272" s="19">
        <f>SE!H$1</f>
        <v>45777</v>
      </c>
      <c r="B272" s="20" t="s">
        <v>88</v>
      </c>
      <c r="C272" s="20" t="s">
        <v>34</v>
      </c>
      <c r="D272" s="21">
        <f>SE!H31</f>
        <v>456.83841999999999</v>
      </c>
    </row>
    <row r="273" spans="1:4" hidden="1" x14ac:dyDescent="0.25">
      <c r="A273" s="19">
        <f>SE!I$1</f>
        <v>45808</v>
      </c>
      <c r="B273" s="20" t="s">
        <v>88</v>
      </c>
      <c r="C273" s="20" t="s">
        <v>34</v>
      </c>
      <c r="D273" s="21">
        <f>SE!I31</f>
        <v>478.34714000000002</v>
      </c>
    </row>
    <row r="274" spans="1:4" hidden="1" x14ac:dyDescent="0.25">
      <c r="A274" s="19">
        <f>SE!J$1</f>
        <v>45838</v>
      </c>
      <c r="B274" s="20" t="s">
        <v>88</v>
      </c>
      <c r="C274" s="20" t="s">
        <v>34</v>
      </c>
      <c r="D274" s="21">
        <f>SE!J31</f>
        <v>487.82062000000002</v>
      </c>
    </row>
    <row r="275" spans="1:4" hidden="1" x14ac:dyDescent="0.25">
      <c r="A275" s="19">
        <f>SE!K$1</f>
        <v>45869</v>
      </c>
      <c r="B275" s="20" t="s">
        <v>88</v>
      </c>
      <c r="C275" s="20" t="s">
        <v>34</v>
      </c>
      <c r="D275" s="21">
        <f>SE!K31</f>
        <v>475.87387999999999</v>
      </c>
    </row>
    <row r="276" spans="1:4" hidden="1" x14ac:dyDescent="0.25">
      <c r="A276" s="19">
        <f>SE!L$1</f>
        <v>45900</v>
      </c>
      <c r="B276" s="20" t="s">
        <v>88</v>
      </c>
      <c r="C276" s="20" t="s">
        <v>34</v>
      </c>
      <c r="D276" s="21">
        <f>SE!L31</f>
        <v>495.53345999999999</v>
      </c>
    </row>
    <row r="277" spans="1:4" hidden="1" x14ac:dyDescent="0.25">
      <c r="A277" s="19">
        <f>SE!M$1</f>
        <v>45930</v>
      </c>
      <c r="B277" s="20" t="s">
        <v>88</v>
      </c>
      <c r="C277" s="20" t="s">
        <v>34</v>
      </c>
      <c r="D277" s="21">
        <f>SE!M31</f>
        <v>473.00349999999997</v>
      </c>
    </row>
    <row r="278" spans="1:4" hidden="1" x14ac:dyDescent="0.25">
      <c r="A278" s="19">
        <f>SE!B$1</f>
        <v>45596</v>
      </c>
      <c r="B278" s="20" t="s">
        <v>88</v>
      </c>
      <c r="C278" s="20" t="s">
        <v>35</v>
      </c>
      <c r="D278" s="21">
        <f>SE!B32</f>
        <v>124.44255</v>
      </c>
    </row>
    <row r="279" spans="1:4" hidden="1" x14ac:dyDescent="0.25">
      <c r="A279" s="19">
        <f>SE!C$1</f>
        <v>45626</v>
      </c>
      <c r="B279" s="20" t="s">
        <v>88</v>
      </c>
      <c r="C279" s="20" t="s">
        <v>35</v>
      </c>
      <c r="D279" s="21">
        <f>SE!C32</f>
        <v>132.12848</v>
      </c>
    </row>
    <row r="280" spans="1:4" hidden="1" x14ac:dyDescent="0.25">
      <c r="A280" s="19">
        <f>SE!D$1</f>
        <v>45657</v>
      </c>
      <c r="B280" s="20" t="s">
        <v>88</v>
      </c>
      <c r="C280" s="20" t="s">
        <v>35</v>
      </c>
      <c r="D280" s="21">
        <f>SE!D32</f>
        <v>106.23674</v>
      </c>
    </row>
    <row r="281" spans="1:4" hidden="1" x14ac:dyDescent="0.25">
      <c r="A281" s="19">
        <f>SE!E$1</f>
        <v>45688</v>
      </c>
      <c r="B281" s="20" t="s">
        <v>88</v>
      </c>
      <c r="C281" s="20" t="s">
        <v>35</v>
      </c>
      <c r="D281" s="21">
        <f>SE!E32</f>
        <v>187.82488000000001</v>
      </c>
    </row>
    <row r="282" spans="1:4" hidden="1" x14ac:dyDescent="0.25">
      <c r="A282" s="19">
        <f>SE!F$1</f>
        <v>45716</v>
      </c>
      <c r="B282" s="20" t="s">
        <v>88</v>
      </c>
      <c r="C282" s="20" t="s">
        <v>35</v>
      </c>
      <c r="D282" s="21">
        <f>SE!F32</f>
        <v>127.46456999999999</v>
      </c>
    </row>
    <row r="283" spans="1:4" hidden="1" x14ac:dyDescent="0.25">
      <c r="A283" s="19">
        <f>SE!G$1</f>
        <v>45747</v>
      </c>
      <c r="B283" s="20" t="s">
        <v>88</v>
      </c>
      <c r="C283" s="20" t="s">
        <v>35</v>
      </c>
      <c r="D283" s="21">
        <f>SE!G32</f>
        <v>192.66466</v>
      </c>
    </row>
    <row r="284" spans="1:4" hidden="1" x14ac:dyDescent="0.25">
      <c r="A284" s="19">
        <f>SE!H$1</f>
        <v>45777</v>
      </c>
      <c r="B284" s="20" t="s">
        <v>88</v>
      </c>
      <c r="C284" s="20" t="s">
        <v>35</v>
      </c>
      <c r="D284" s="21">
        <f>SE!H32</f>
        <v>123.65125999999999</v>
      </c>
    </row>
    <row r="285" spans="1:4" hidden="1" x14ac:dyDescent="0.25">
      <c r="A285" s="19">
        <f>SE!I$1</f>
        <v>45808</v>
      </c>
      <c r="B285" s="20" t="s">
        <v>88</v>
      </c>
      <c r="C285" s="20" t="s">
        <v>35</v>
      </c>
      <c r="D285" s="21">
        <f>SE!I32</f>
        <v>173.39350999999999</v>
      </c>
    </row>
    <row r="286" spans="1:4" hidden="1" x14ac:dyDescent="0.25">
      <c r="A286" s="19">
        <f>SE!J$1</f>
        <v>45838</v>
      </c>
      <c r="B286" s="20" t="s">
        <v>88</v>
      </c>
      <c r="C286" s="20" t="s">
        <v>35</v>
      </c>
      <c r="D286" s="21">
        <f>SE!J32</f>
        <v>127.41323</v>
      </c>
    </row>
    <row r="287" spans="1:4" hidden="1" x14ac:dyDescent="0.25">
      <c r="A287" s="19">
        <f>SE!K$1</f>
        <v>45869</v>
      </c>
      <c r="B287" s="20" t="s">
        <v>88</v>
      </c>
      <c r="C287" s="20" t="s">
        <v>35</v>
      </c>
      <c r="D287" s="21">
        <f>SE!K32</f>
        <v>217.81627</v>
      </c>
    </row>
    <row r="288" spans="1:4" hidden="1" x14ac:dyDescent="0.25">
      <c r="A288" s="19">
        <f>SE!L$1</f>
        <v>45900</v>
      </c>
      <c r="B288" s="20" t="s">
        <v>88</v>
      </c>
      <c r="C288" s="20" t="s">
        <v>35</v>
      </c>
      <c r="D288" s="21">
        <f>SE!L32</f>
        <v>116.16436</v>
      </c>
    </row>
    <row r="289" spans="1:4" hidden="1" x14ac:dyDescent="0.25">
      <c r="A289" s="19">
        <f>SE!M$1</f>
        <v>45930</v>
      </c>
      <c r="B289" s="20" t="s">
        <v>88</v>
      </c>
      <c r="C289" s="20" t="s">
        <v>35</v>
      </c>
      <c r="D289" s="21">
        <f>SE!M32</f>
        <v>68.354979999999998</v>
      </c>
    </row>
    <row r="290" spans="1:4" hidden="1" x14ac:dyDescent="0.25">
      <c r="A290" s="19">
        <f>SE!B$1</f>
        <v>45596</v>
      </c>
      <c r="B290" s="20" t="s">
        <v>88</v>
      </c>
      <c r="C290" s="20" t="s">
        <v>36</v>
      </c>
      <c r="D290" s="21">
        <f>SE!B33</f>
        <v>0</v>
      </c>
    </row>
    <row r="291" spans="1:4" hidden="1" x14ac:dyDescent="0.25">
      <c r="A291" s="19">
        <f>SE!C$1</f>
        <v>45626</v>
      </c>
      <c r="B291" s="20" t="s">
        <v>88</v>
      </c>
      <c r="C291" s="20" t="s">
        <v>36</v>
      </c>
      <c r="D291" s="21">
        <f>SE!C33</f>
        <v>0</v>
      </c>
    </row>
    <row r="292" spans="1:4" hidden="1" x14ac:dyDescent="0.25">
      <c r="A292" s="19">
        <f>SE!D$1</f>
        <v>45657</v>
      </c>
      <c r="B292" s="20" t="s">
        <v>88</v>
      </c>
      <c r="C292" s="20" t="s">
        <v>36</v>
      </c>
      <c r="D292" s="21">
        <f>SE!D33</f>
        <v>0</v>
      </c>
    </row>
    <row r="293" spans="1:4" hidden="1" x14ac:dyDescent="0.25">
      <c r="A293" s="19">
        <f>SE!E$1</f>
        <v>45688</v>
      </c>
      <c r="B293" s="20" t="s">
        <v>88</v>
      </c>
      <c r="C293" s="20" t="s">
        <v>36</v>
      </c>
      <c r="D293" s="21">
        <f>SE!E33</f>
        <v>0</v>
      </c>
    </row>
    <row r="294" spans="1:4" hidden="1" x14ac:dyDescent="0.25">
      <c r="A294" s="19">
        <f>SE!F$1</f>
        <v>45716</v>
      </c>
      <c r="B294" s="20" t="s">
        <v>88</v>
      </c>
      <c r="C294" s="20" t="s">
        <v>36</v>
      </c>
      <c r="D294" s="21">
        <f>SE!F33</f>
        <v>0</v>
      </c>
    </row>
    <row r="295" spans="1:4" hidden="1" x14ac:dyDescent="0.25">
      <c r="A295" s="19">
        <f>SE!G$1</f>
        <v>45747</v>
      </c>
      <c r="B295" s="20" t="s">
        <v>88</v>
      </c>
      <c r="C295" s="20" t="s">
        <v>36</v>
      </c>
      <c r="D295" s="21">
        <f>SE!G33</f>
        <v>0</v>
      </c>
    </row>
    <row r="296" spans="1:4" hidden="1" x14ac:dyDescent="0.25">
      <c r="A296" s="19">
        <f>SE!H$1</f>
        <v>45777</v>
      </c>
      <c r="B296" s="20" t="s">
        <v>88</v>
      </c>
      <c r="C296" s="20" t="s">
        <v>36</v>
      </c>
      <c r="D296" s="21">
        <f>SE!H33</f>
        <v>0</v>
      </c>
    </row>
    <row r="297" spans="1:4" hidden="1" x14ac:dyDescent="0.25">
      <c r="A297" s="19">
        <f>SE!I$1</f>
        <v>45808</v>
      </c>
      <c r="B297" s="20" t="s">
        <v>88</v>
      </c>
      <c r="C297" s="20" t="s">
        <v>36</v>
      </c>
      <c r="D297" s="21">
        <f>SE!I33</f>
        <v>0</v>
      </c>
    </row>
    <row r="298" spans="1:4" hidden="1" x14ac:dyDescent="0.25">
      <c r="A298" s="19">
        <f>SE!J$1</f>
        <v>45838</v>
      </c>
      <c r="B298" s="20" t="s">
        <v>88</v>
      </c>
      <c r="C298" s="20" t="s">
        <v>36</v>
      </c>
      <c r="D298" s="21">
        <f>SE!J33</f>
        <v>0</v>
      </c>
    </row>
    <row r="299" spans="1:4" hidden="1" x14ac:dyDescent="0.25">
      <c r="A299" s="19">
        <f>SE!K$1</f>
        <v>45869</v>
      </c>
      <c r="B299" s="20" t="s">
        <v>88</v>
      </c>
      <c r="C299" s="20" t="s">
        <v>36</v>
      </c>
      <c r="D299" s="21">
        <f>SE!K33</f>
        <v>0</v>
      </c>
    </row>
    <row r="300" spans="1:4" hidden="1" x14ac:dyDescent="0.25">
      <c r="A300" s="19">
        <f>SE!L$1</f>
        <v>45900</v>
      </c>
      <c r="B300" s="20" t="s">
        <v>88</v>
      </c>
      <c r="C300" s="20" t="s">
        <v>36</v>
      </c>
      <c r="D300" s="21">
        <f>SE!L33</f>
        <v>0</v>
      </c>
    </row>
    <row r="301" spans="1:4" hidden="1" x14ac:dyDescent="0.25">
      <c r="A301" s="19">
        <f>SE!M$1</f>
        <v>45930</v>
      </c>
      <c r="B301" s="20" t="s">
        <v>88</v>
      </c>
      <c r="C301" s="20" t="s">
        <v>36</v>
      </c>
      <c r="D301" s="21">
        <f>SE!M33</f>
        <v>0</v>
      </c>
    </row>
    <row r="302" spans="1:4" hidden="1" x14ac:dyDescent="0.25">
      <c r="A302" s="19">
        <f>SE!B$1</f>
        <v>45596</v>
      </c>
      <c r="B302" s="20" t="s">
        <v>88</v>
      </c>
      <c r="C302" s="20" t="s">
        <v>37</v>
      </c>
      <c r="D302" s="21">
        <f>SE!B34</f>
        <v>198.17684</v>
      </c>
    </row>
    <row r="303" spans="1:4" hidden="1" x14ac:dyDescent="0.25">
      <c r="A303" s="19">
        <f>SE!C$1</f>
        <v>45626</v>
      </c>
      <c r="B303" s="20" t="s">
        <v>88</v>
      </c>
      <c r="C303" s="20" t="s">
        <v>37</v>
      </c>
      <c r="D303" s="21">
        <f>SE!C34</f>
        <v>239.55349000000001</v>
      </c>
    </row>
    <row r="304" spans="1:4" hidden="1" x14ac:dyDescent="0.25">
      <c r="A304" s="19">
        <f>SE!D$1</f>
        <v>45657</v>
      </c>
      <c r="B304" s="20" t="s">
        <v>88</v>
      </c>
      <c r="C304" s="20" t="s">
        <v>37</v>
      </c>
      <c r="D304" s="21">
        <f>SE!D34</f>
        <v>443.21963</v>
      </c>
    </row>
    <row r="305" spans="1:4" hidden="1" x14ac:dyDescent="0.25">
      <c r="A305" s="19">
        <f>SE!E$1</f>
        <v>45688</v>
      </c>
      <c r="B305" s="20" t="s">
        <v>88</v>
      </c>
      <c r="C305" s="20" t="s">
        <v>37</v>
      </c>
      <c r="D305" s="21">
        <f>SE!E34</f>
        <v>226.63096999999999</v>
      </c>
    </row>
    <row r="306" spans="1:4" hidden="1" x14ac:dyDescent="0.25">
      <c r="A306" s="19">
        <f>SE!F$1</f>
        <v>45716</v>
      </c>
      <c r="B306" s="20" t="s">
        <v>88</v>
      </c>
      <c r="C306" s="20" t="s">
        <v>37</v>
      </c>
      <c r="D306" s="21">
        <f>SE!F34</f>
        <v>209.50491</v>
      </c>
    </row>
    <row r="307" spans="1:4" hidden="1" x14ac:dyDescent="0.25">
      <c r="A307" s="19">
        <f>SE!G$1</f>
        <v>45747</v>
      </c>
      <c r="B307" s="20" t="s">
        <v>88</v>
      </c>
      <c r="C307" s="20" t="s">
        <v>37</v>
      </c>
      <c r="D307" s="21">
        <f>SE!G34</f>
        <v>220.93530000000001</v>
      </c>
    </row>
    <row r="308" spans="1:4" hidden="1" x14ac:dyDescent="0.25">
      <c r="A308" s="19">
        <f>SE!H$1</f>
        <v>45777</v>
      </c>
      <c r="B308" s="20" t="s">
        <v>88</v>
      </c>
      <c r="C308" s="20" t="s">
        <v>37</v>
      </c>
      <c r="D308" s="21">
        <f>SE!H34</f>
        <v>238.47800000000001</v>
      </c>
    </row>
    <row r="309" spans="1:4" hidden="1" x14ac:dyDescent="0.25">
      <c r="A309" s="19">
        <f>SE!I$1</f>
        <v>45808</v>
      </c>
      <c r="B309" s="20" t="s">
        <v>88</v>
      </c>
      <c r="C309" s="20" t="s">
        <v>37</v>
      </c>
      <c r="D309" s="21">
        <f>SE!I34</f>
        <v>200.17804000000001</v>
      </c>
    </row>
    <row r="310" spans="1:4" hidden="1" x14ac:dyDescent="0.25">
      <c r="A310" s="19">
        <f>SE!J$1</f>
        <v>45838</v>
      </c>
      <c r="B310" s="20" t="s">
        <v>88</v>
      </c>
      <c r="C310" s="20" t="s">
        <v>37</v>
      </c>
      <c r="D310" s="21">
        <f>SE!J34</f>
        <v>206.03130999999999</v>
      </c>
    </row>
    <row r="311" spans="1:4" hidden="1" x14ac:dyDescent="0.25">
      <c r="A311" s="19">
        <f>SE!K$1</f>
        <v>45869</v>
      </c>
      <c r="B311" s="20" t="s">
        <v>88</v>
      </c>
      <c r="C311" s="20" t="s">
        <v>37</v>
      </c>
      <c r="D311" s="21">
        <f>SE!K34</f>
        <v>204.43530000000001</v>
      </c>
    </row>
    <row r="312" spans="1:4" hidden="1" x14ac:dyDescent="0.25">
      <c r="A312" s="19">
        <f>SE!L$1</f>
        <v>45900</v>
      </c>
      <c r="B312" s="20" t="s">
        <v>88</v>
      </c>
      <c r="C312" s="20" t="s">
        <v>37</v>
      </c>
      <c r="D312" s="21">
        <f>SE!L34</f>
        <v>202.72730999999999</v>
      </c>
    </row>
    <row r="313" spans="1:4" hidden="1" x14ac:dyDescent="0.25">
      <c r="A313" s="19">
        <f>SE!M$1</f>
        <v>45930</v>
      </c>
      <c r="B313" s="20" t="s">
        <v>88</v>
      </c>
      <c r="C313" s="20" t="s">
        <v>37</v>
      </c>
      <c r="D313" s="21">
        <f>SE!M34</f>
        <v>180.19448</v>
      </c>
    </row>
    <row r="314" spans="1:4" hidden="1" x14ac:dyDescent="0.25">
      <c r="A314" s="19">
        <f>SE!B$1</f>
        <v>45596</v>
      </c>
      <c r="B314" s="20" t="s">
        <v>88</v>
      </c>
      <c r="C314" s="20" t="s">
        <v>38</v>
      </c>
      <c r="D314" s="21">
        <f>SE!B35</f>
        <v>77.101789999999994</v>
      </c>
    </row>
    <row r="315" spans="1:4" hidden="1" x14ac:dyDescent="0.25">
      <c r="A315" s="19">
        <f>SE!C$1</f>
        <v>45626</v>
      </c>
      <c r="B315" s="20" t="s">
        <v>88</v>
      </c>
      <c r="C315" s="20" t="s">
        <v>38</v>
      </c>
      <c r="D315" s="21">
        <f>SE!C35</f>
        <v>80.665130000000005</v>
      </c>
    </row>
    <row r="316" spans="1:4" hidden="1" x14ac:dyDescent="0.25">
      <c r="A316" s="19">
        <f>SE!D$1</f>
        <v>45657</v>
      </c>
      <c r="B316" s="20" t="s">
        <v>88</v>
      </c>
      <c r="C316" s="20" t="s">
        <v>38</v>
      </c>
      <c r="D316" s="21">
        <f>SE!D35</f>
        <v>27.738109999999999</v>
      </c>
    </row>
    <row r="317" spans="1:4" hidden="1" x14ac:dyDescent="0.25">
      <c r="A317" s="19">
        <f>SE!E$1</f>
        <v>45688</v>
      </c>
      <c r="B317" s="20" t="s">
        <v>88</v>
      </c>
      <c r="C317" s="20" t="s">
        <v>38</v>
      </c>
      <c r="D317" s="21">
        <f>SE!E35</f>
        <v>111.40458</v>
      </c>
    </row>
    <row r="318" spans="1:4" hidden="1" x14ac:dyDescent="0.25">
      <c r="A318" s="19">
        <f>SE!F$1</f>
        <v>45716</v>
      </c>
      <c r="B318" s="20" t="s">
        <v>88</v>
      </c>
      <c r="C318" s="20" t="s">
        <v>38</v>
      </c>
      <c r="D318" s="21">
        <f>SE!F35</f>
        <v>43.976849999999999</v>
      </c>
    </row>
    <row r="319" spans="1:4" hidden="1" x14ac:dyDescent="0.25">
      <c r="A319" s="19">
        <f>SE!G$1</f>
        <v>45747</v>
      </c>
      <c r="B319" s="20" t="s">
        <v>88</v>
      </c>
      <c r="C319" s="20" t="s">
        <v>38</v>
      </c>
      <c r="D319" s="21">
        <f>SE!G35</f>
        <v>109.96171</v>
      </c>
    </row>
    <row r="320" spans="1:4" hidden="1" x14ac:dyDescent="0.25">
      <c r="A320" s="19">
        <f>SE!H$1</f>
        <v>45777</v>
      </c>
      <c r="B320" s="20" t="s">
        <v>88</v>
      </c>
      <c r="C320" s="20" t="s">
        <v>38</v>
      </c>
      <c r="D320" s="21">
        <f>SE!H35</f>
        <v>66.678690000000003</v>
      </c>
    </row>
    <row r="321" spans="1:4" hidden="1" x14ac:dyDescent="0.25">
      <c r="A321" s="19">
        <f>SE!I$1</f>
        <v>45808</v>
      </c>
      <c r="B321" s="20" t="s">
        <v>88</v>
      </c>
      <c r="C321" s="20" t="s">
        <v>38</v>
      </c>
      <c r="D321" s="21">
        <f>SE!I35</f>
        <v>63.864069999999998</v>
      </c>
    </row>
    <row r="322" spans="1:4" hidden="1" x14ac:dyDescent="0.25">
      <c r="A322" s="19">
        <f>SE!J$1</f>
        <v>45838</v>
      </c>
      <c r="B322" s="20" t="s">
        <v>88</v>
      </c>
      <c r="C322" s="20" t="s">
        <v>38</v>
      </c>
      <c r="D322" s="21">
        <f>SE!J35</f>
        <v>80.493849999999995</v>
      </c>
    </row>
    <row r="323" spans="1:4" hidden="1" x14ac:dyDescent="0.25">
      <c r="A323" s="19">
        <f>SE!K$1</f>
        <v>45869</v>
      </c>
      <c r="B323" s="20" t="s">
        <v>88</v>
      </c>
      <c r="C323" s="20" t="s">
        <v>38</v>
      </c>
      <c r="D323" s="21">
        <f>SE!K35</f>
        <v>83.481489999999994</v>
      </c>
    </row>
    <row r="324" spans="1:4" hidden="1" x14ac:dyDescent="0.25">
      <c r="A324" s="19">
        <f>SE!L$1</f>
        <v>45900</v>
      </c>
      <c r="B324" s="20" t="s">
        <v>88</v>
      </c>
      <c r="C324" s="20" t="s">
        <v>38</v>
      </c>
      <c r="D324" s="21">
        <f>SE!L35</f>
        <v>78.811880000000002</v>
      </c>
    </row>
    <row r="325" spans="1:4" hidden="1" x14ac:dyDescent="0.25">
      <c r="A325" s="19">
        <f>SE!M$1</f>
        <v>45930</v>
      </c>
      <c r="B325" s="20" t="s">
        <v>88</v>
      </c>
      <c r="C325" s="20" t="s">
        <v>38</v>
      </c>
      <c r="D325" s="21">
        <f>SE!M35</f>
        <v>83.164500000000004</v>
      </c>
    </row>
    <row r="326" spans="1:4" hidden="1" x14ac:dyDescent="0.25">
      <c r="A326" s="19">
        <f>SE!B$1</f>
        <v>45596</v>
      </c>
      <c r="B326" s="20" t="s">
        <v>88</v>
      </c>
      <c r="C326" s="20" t="s">
        <v>39</v>
      </c>
      <c r="D326" s="21">
        <f>SE!B36</f>
        <v>44.646169999999998</v>
      </c>
    </row>
    <row r="327" spans="1:4" hidden="1" x14ac:dyDescent="0.25">
      <c r="A327" s="19">
        <f>SE!C$1</f>
        <v>45626</v>
      </c>
      <c r="B327" s="20" t="s">
        <v>88</v>
      </c>
      <c r="C327" s="20" t="s">
        <v>39</v>
      </c>
      <c r="D327" s="21">
        <f>SE!C36</f>
        <v>22.858910000000002</v>
      </c>
    </row>
    <row r="328" spans="1:4" hidden="1" x14ac:dyDescent="0.25">
      <c r="A328" s="19">
        <f>SE!D$1</f>
        <v>45657</v>
      </c>
      <c r="B328" s="20" t="s">
        <v>88</v>
      </c>
      <c r="C328" s="20" t="s">
        <v>39</v>
      </c>
      <c r="D328" s="21">
        <f>SE!D36</f>
        <v>14.10566</v>
      </c>
    </row>
    <row r="329" spans="1:4" hidden="1" x14ac:dyDescent="0.25">
      <c r="A329" s="19">
        <f>SE!E$1</f>
        <v>45688</v>
      </c>
      <c r="B329" s="20" t="s">
        <v>88</v>
      </c>
      <c r="C329" s="20" t="s">
        <v>39</v>
      </c>
      <c r="D329" s="21">
        <f>SE!E36</f>
        <v>13.205175347894601</v>
      </c>
    </row>
    <row r="330" spans="1:4" hidden="1" x14ac:dyDescent="0.25">
      <c r="A330" s="19">
        <f>SE!F$1</f>
        <v>45716</v>
      </c>
      <c r="B330" s="20" t="s">
        <v>88</v>
      </c>
      <c r="C330" s="20" t="s">
        <v>39</v>
      </c>
      <c r="D330" s="21">
        <f>SE!F36</f>
        <v>27.936640000000001</v>
      </c>
    </row>
    <row r="331" spans="1:4" hidden="1" x14ac:dyDescent="0.25">
      <c r="A331" s="19">
        <f>SE!G$1</f>
        <v>45747</v>
      </c>
      <c r="B331" s="20" t="s">
        <v>88</v>
      </c>
      <c r="C331" s="20" t="s">
        <v>39</v>
      </c>
      <c r="D331" s="21">
        <f>SE!G36</f>
        <v>21.726859999999999</v>
      </c>
    </row>
    <row r="332" spans="1:4" hidden="1" x14ac:dyDescent="0.25">
      <c r="A332" s="19">
        <f>SE!H$1</f>
        <v>45777</v>
      </c>
      <c r="B332" s="20" t="s">
        <v>88</v>
      </c>
      <c r="C332" s="20" t="s">
        <v>39</v>
      </c>
      <c r="D332" s="21">
        <f>SE!H36</f>
        <v>-10.15652</v>
      </c>
    </row>
    <row r="333" spans="1:4" hidden="1" x14ac:dyDescent="0.25">
      <c r="A333" s="19">
        <f>SE!I$1</f>
        <v>45808</v>
      </c>
      <c r="B333" s="20" t="s">
        <v>88</v>
      </c>
      <c r="C333" s="20" t="s">
        <v>39</v>
      </c>
      <c r="D333" s="21">
        <f>SE!I36</f>
        <v>47.424759999999999</v>
      </c>
    </row>
    <row r="334" spans="1:4" hidden="1" x14ac:dyDescent="0.25">
      <c r="A334" s="19">
        <f>SE!J$1</f>
        <v>45838</v>
      </c>
      <c r="B334" s="20" t="s">
        <v>88</v>
      </c>
      <c r="C334" s="20" t="s">
        <v>39</v>
      </c>
      <c r="D334" s="21">
        <f>SE!J36</f>
        <v>15.27895</v>
      </c>
    </row>
    <row r="335" spans="1:4" hidden="1" x14ac:dyDescent="0.25">
      <c r="A335" s="19">
        <f>SE!K$1</f>
        <v>45869</v>
      </c>
      <c r="B335" s="20" t="s">
        <v>88</v>
      </c>
      <c r="C335" s="20" t="s">
        <v>39</v>
      </c>
      <c r="D335" s="21">
        <f>SE!K36</f>
        <v>32.042879999999997</v>
      </c>
    </row>
    <row r="336" spans="1:4" hidden="1" x14ac:dyDescent="0.25">
      <c r="A336" s="19">
        <f>SE!L$1</f>
        <v>45900</v>
      </c>
      <c r="B336" s="20" t="s">
        <v>88</v>
      </c>
      <c r="C336" s="20" t="s">
        <v>39</v>
      </c>
      <c r="D336" s="21">
        <f>SE!L36</f>
        <v>9.7055199999999999</v>
      </c>
    </row>
    <row r="337" spans="1:4" hidden="1" x14ac:dyDescent="0.25">
      <c r="A337" s="19">
        <f>SE!M$1</f>
        <v>45930</v>
      </c>
      <c r="B337" s="20" t="s">
        <v>88</v>
      </c>
      <c r="C337" s="20" t="s">
        <v>39</v>
      </c>
      <c r="D337" s="21">
        <f>SE!M36</f>
        <v>12.342420000000001</v>
      </c>
    </row>
    <row r="338" spans="1:4" hidden="1" x14ac:dyDescent="0.25">
      <c r="A338" s="19">
        <f>SE!B$1</f>
        <v>45596</v>
      </c>
      <c r="B338" s="20" t="s">
        <v>88</v>
      </c>
      <c r="C338" s="20" t="s">
        <v>40</v>
      </c>
      <c r="D338" s="21">
        <f>SE!B37</f>
        <v>54.667839999999998</v>
      </c>
    </row>
    <row r="339" spans="1:4" hidden="1" x14ac:dyDescent="0.25">
      <c r="A339" s="19">
        <f>SE!C$1</f>
        <v>45626</v>
      </c>
      <c r="B339" s="20" t="s">
        <v>88</v>
      </c>
      <c r="C339" s="20" t="s">
        <v>40</v>
      </c>
      <c r="D339" s="21">
        <f>SE!C37</f>
        <v>27.4924</v>
      </c>
    </row>
    <row r="340" spans="1:4" hidden="1" x14ac:dyDescent="0.25">
      <c r="A340" s="19">
        <f>SE!D$1</f>
        <v>45657</v>
      </c>
      <c r="B340" s="20" t="s">
        <v>88</v>
      </c>
      <c r="C340" s="20" t="s">
        <v>40</v>
      </c>
      <c r="D340" s="21">
        <f>SE!D37</f>
        <v>36.415880000000001</v>
      </c>
    </row>
    <row r="341" spans="1:4" hidden="1" x14ac:dyDescent="0.25">
      <c r="A341" s="19">
        <f>SE!E$1</f>
        <v>45688</v>
      </c>
      <c r="B341" s="20" t="s">
        <v>88</v>
      </c>
      <c r="C341" s="20" t="s">
        <v>40</v>
      </c>
      <c r="D341" s="21">
        <f>SE!E37</f>
        <v>45.012599999999999</v>
      </c>
    </row>
    <row r="342" spans="1:4" hidden="1" x14ac:dyDescent="0.25">
      <c r="A342" s="19">
        <f>SE!F$1</f>
        <v>45716</v>
      </c>
      <c r="B342" s="20" t="s">
        <v>88</v>
      </c>
      <c r="C342" s="20" t="s">
        <v>40</v>
      </c>
      <c r="D342" s="21">
        <f>SE!F37</f>
        <v>36.764000000000003</v>
      </c>
    </row>
    <row r="343" spans="1:4" hidden="1" x14ac:dyDescent="0.25">
      <c r="A343" s="19">
        <f>SE!G$1</f>
        <v>45747</v>
      </c>
      <c r="B343" s="20" t="s">
        <v>88</v>
      </c>
      <c r="C343" s="20" t="s">
        <v>40</v>
      </c>
      <c r="D343" s="21">
        <f>SE!G37</f>
        <v>36.414499999999997</v>
      </c>
    </row>
    <row r="344" spans="1:4" hidden="1" x14ac:dyDescent="0.25">
      <c r="A344" s="19">
        <f>SE!H$1</f>
        <v>45777</v>
      </c>
      <c r="B344" s="20" t="s">
        <v>88</v>
      </c>
      <c r="C344" s="20" t="s">
        <v>40</v>
      </c>
      <c r="D344" s="21">
        <f>SE!H37</f>
        <v>39.77469</v>
      </c>
    </row>
    <row r="345" spans="1:4" hidden="1" x14ac:dyDescent="0.25">
      <c r="A345" s="19">
        <f>SE!I$1</f>
        <v>45808</v>
      </c>
      <c r="B345" s="20" t="s">
        <v>88</v>
      </c>
      <c r="C345" s="20" t="s">
        <v>40</v>
      </c>
      <c r="D345" s="21">
        <f>SE!I37</f>
        <v>48.80124</v>
      </c>
    </row>
    <row r="346" spans="1:4" hidden="1" x14ac:dyDescent="0.25">
      <c r="A346" s="19">
        <f>SE!J$1</f>
        <v>45838</v>
      </c>
      <c r="B346" s="20" t="s">
        <v>88</v>
      </c>
      <c r="C346" s="20" t="s">
        <v>40</v>
      </c>
      <c r="D346" s="21">
        <f>SE!J37</f>
        <v>38.770679999999999</v>
      </c>
    </row>
    <row r="347" spans="1:4" hidden="1" x14ac:dyDescent="0.25">
      <c r="A347" s="19">
        <f>SE!K$1</f>
        <v>45869</v>
      </c>
      <c r="B347" s="20" t="s">
        <v>88</v>
      </c>
      <c r="C347" s="20" t="s">
        <v>40</v>
      </c>
      <c r="D347" s="21">
        <f>SE!K37</f>
        <v>27.521000000000001</v>
      </c>
    </row>
    <row r="348" spans="1:4" hidden="1" x14ac:dyDescent="0.25">
      <c r="A348" s="19">
        <f>SE!L$1</f>
        <v>45900</v>
      </c>
      <c r="B348" s="20" t="s">
        <v>88</v>
      </c>
      <c r="C348" s="20" t="s">
        <v>40</v>
      </c>
      <c r="D348" s="21">
        <f>SE!L37</f>
        <v>34.836350000000003</v>
      </c>
    </row>
    <row r="349" spans="1:4" hidden="1" x14ac:dyDescent="0.25">
      <c r="A349" s="19">
        <f>SE!M$1</f>
        <v>45930</v>
      </c>
      <c r="B349" s="20" t="s">
        <v>88</v>
      </c>
      <c r="C349" s="20" t="s">
        <v>40</v>
      </c>
      <c r="D349" s="21">
        <f>SE!M37</f>
        <v>27.2012</v>
      </c>
    </row>
    <row r="350" spans="1:4" hidden="1" x14ac:dyDescent="0.25">
      <c r="A350" s="19">
        <f>SE!B$1</f>
        <v>45596</v>
      </c>
      <c r="B350" s="20" t="s">
        <v>88</v>
      </c>
      <c r="C350" s="20" t="s">
        <v>41</v>
      </c>
      <c r="D350" s="21">
        <f>SE!B38</f>
        <v>8.3018000000000001</v>
      </c>
    </row>
    <row r="351" spans="1:4" hidden="1" x14ac:dyDescent="0.25">
      <c r="A351" s="19">
        <f>SE!C$1</f>
        <v>45626</v>
      </c>
      <c r="B351" s="20" t="s">
        <v>88</v>
      </c>
      <c r="C351" s="20" t="s">
        <v>41</v>
      </c>
      <c r="D351" s="21">
        <f>SE!C38</f>
        <v>11.90457</v>
      </c>
    </row>
    <row r="352" spans="1:4" hidden="1" x14ac:dyDescent="0.25">
      <c r="A352" s="19">
        <f>SE!D$1</f>
        <v>45657</v>
      </c>
      <c r="B352" s="20" t="s">
        <v>88</v>
      </c>
      <c r="C352" s="20" t="s">
        <v>41</v>
      </c>
      <c r="D352" s="21">
        <f>SE!D38</f>
        <v>22.63644</v>
      </c>
    </row>
    <row r="353" spans="1:4" hidden="1" x14ac:dyDescent="0.25">
      <c r="A353" s="19">
        <f>SE!E$1</f>
        <v>45688</v>
      </c>
      <c r="B353" s="20" t="s">
        <v>88</v>
      </c>
      <c r="C353" s="20" t="s">
        <v>41</v>
      </c>
      <c r="D353" s="21">
        <f>SE!E38</f>
        <v>11.286429999999999</v>
      </c>
    </row>
    <row r="354" spans="1:4" hidden="1" x14ac:dyDescent="0.25">
      <c r="A354" s="19">
        <f>SE!F$1</f>
        <v>45716</v>
      </c>
      <c r="B354" s="20" t="s">
        <v>88</v>
      </c>
      <c r="C354" s="20" t="s">
        <v>41</v>
      </c>
      <c r="D354" s="21">
        <f>SE!F38</f>
        <v>5.6093200000000003</v>
      </c>
    </row>
    <row r="355" spans="1:4" hidden="1" x14ac:dyDescent="0.25">
      <c r="A355" s="19">
        <f>SE!G$1</f>
        <v>45747</v>
      </c>
      <c r="B355" s="20" t="s">
        <v>88</v>
      </c>
      <c r="C355" s="20" t="s">
        <v>41</v>
      </c>
      <c r="D355" s="21">
        <f>SE!G38</f>
        <v>11.99410034375</v>
      </c>
    </row>
    <row r="356" spans="1:4" hidden="1" x14ac:dyDescent="0.25">
      <c r="A356" s="19">
        <f>SE!H$1</f>
        <v>45777</v>
      </c>
      <c r="B356" s="20" t="s">
        <v>88</v>
      </c>
      <c r="C356" s="20" t="s">
        <v>41</v>
      </c>
      <c r="D356" s="21">
        <f>SE!H38</f>
        <v>5.2607900000000001</v>
      </c>
    </row>
    <row r="357" spans="1:4" hidden="1" x14ac:dyDescent="0.25">
      <c r="A357" s="19">
        <f>SE!I$1</f>
        <v>45808</v>
      </c>
      <c r="B357" s="20" t="s">
        <v>88</v>
      </c>
      <c r="C357" s="20" t="s">
        <v>41</v>
      </c>
      <c r="D357" s="21">
        <f>SE!I38</f>
        <v>8.5816599999999994</v>
      </c>
    </row>
    <row r="358" spans="1:4" hidden="1" x14ac:dyDescent="0.25">
      <c r="A358" s="19">
        <f>SE!J$1</f>
        <v>45838</v>
      </c>
      <c r="B358" s="20" t="s">
        <v>88</v>
      </c>
      <c r="C358" s="20" t="s">
        <v>41</v>
      </c>
      <c r="D358" s="21">
        <f>SE!J38</f>
        <v>22.892040000000001</v>
      </c>
    </row>
    <row r="359" spans="1:4" hidden="1" x14ac:dyDescent="0.25">
      <c r="A359" s="19">
        <f>SE!K$1</f>
        <v>45869</v>
      </c>
      <c r="B359" s="20" t="s">
        <v>88</v>
      </c>
      <c r="C359" s="20" t="s">
        <v>41</v>
      </c>
      <c r="D359" s="21">
        <f>SE!K38</f>
        <v>8.1492000000000004</v>
      </c>
    </row>
    <row r="360" spans="1:4" hidden="1" x14ac:dyDescent="0.25">
      <c r="A360" s="19">
        <f>SE!L$1</f>
        <v>45900</v>
      </c>
      <c r="B360" s="20" t="s">
        <v>88</v>
      </c>
      <c r="C360" s="20" t="s">
        <v>41</v>
      </c>
      <c r="D360" s="21">
        <f>SE!L38</f>
        <v>9.1461600000000001</v>
      </c>
    </row>
    <row r="361" spans="1:4" hidden="1" x14ac:dyDescent="0.25">
      <c r="A361" s="19">
        <f>SE!M$1</f>
        <v>45930</v>
      </c>
      <c r="B361" s="20" t="s">
        <v>88</v>
      </c>
      <c r="C361" s="20" t="s">
        <v>41</v>
      </c>
      <c r="D361" s="21">
        <f>SE!M38</f>
        <v>9.93018</v>
      </c>
    </row>
    <row r="362" spans="1:4" hidden="1" x14ac:dyDescent="0.25">
      <c r="A362" s="19">
        <f>SE!B$1</f>
        <v>45596</v>
      </c>
      <c r="B362" s="20" t="s">
        <v>88</v>
      </c>
      <c r="C362" s="20" t="s">
        <v>42</v>
      </c>
      <c r="D362" s="21">
        <f>SE!B39</f>
        <v>6.1806000000000001</v>
      </c>
    </row>
    <row r="363" spans="1:4" hidden="1" x14ac:dyDescent="0.25">
      <c r="A363" s="19">
        <f>SE!C$1</f>
        <v>45626</v>
      </c>
      <c r="B363" s="20" t="s">
        <v>88</v>
      </c>
      <c r="C363" s="20" t="s">
        <v>42</v>
      </c>
      <c r="D363" s="21">
        <f>SE!C39</f>
        <v>3.4136000000000002</v>
      </c>
    </row>
    <row r="364" spans="1:4" hidden="1" x14ac:dyDescent="0.25">
      <c r="A364" s="19">
        <f>SE!D$1</f>
        <v>45657</v>
      </c>
      <c r="B364" s="20" t="s">
        <v>88</v>
      </c>
      <c r="C364" s="20" t="s">
        <v>42</v>
      </c>
      <c r="D364" s="21">
        <f>SE!D39</f>
        <v>11.23559</v>
      </c>
    </row>
    <row r="365" spans="1:4" hidden="1" x14ac:dyDescent="0.25">
      <c r="A365" s="19">
        <f>SE!E$1</f>
        <v>45688</v>
      </c>
      <c r="B365" s="20" t="s">
        <v>88</v>
      </c>
      <c r="C365" s="20" t="s">
        <v>42</v>
      </c>
      <c r="D365" s="21">
        <f>SE!E39</f>
        <v>3.0917599999999998</v>
      </c>
    </row>
    <row r="366" spans="1:4" hidden="1" x14ac:dyDescent="0.25">
      <c r="A366" s="19">
        <f>SE!F$1</f>
        <v>45716</v>
      </c>
      <c r="B366" s="20" t="s">
        <v>88</v>
      </c>
      <c r="C366" s="20" t="s">
        <v>42</v>
      </c>
      <c r="D366" s="21">
        <f>SE!F39</f>
        <v>7.2667200000000003</v>
      </c>
    </row>
    <row r="367" spans="1:4" hidden="1" x14ac:dyDescent="0.25">
      <c r="A367" s="19">
        <f>SE!G$1</f>
        <v>45747</v>
      </c>
      <c r="B367" s="20" t="s">
        <v>88</v>
      </c>
      <c r="C367" s="20" t="s">
        <v>42</v>
      </c>
      <c r="D367" s="21">
        <f>SE!G39</f>
        <v>6.1478000000000002</v>
      </c>
    </row>
    <row r="368" spans="1:4" hidden="1" x14ac:dyDescent="0.25">
      <c r="A368" s="19">
        <f>SE!H$1</f>
        <v>45777</v>
      </c>
      <c r="B368" s="20" t="s">
        <v>88</v>
      </c>
      <c r="C368" s="20" t="s">
        <v>42</v>
      </c>
      <c r="D368" s="21">
        <f>SE!H39</f>
        <v>2.1805099999999999</v>
      </c>
    </row>
    <row r="369" spans="1:4" hidden="1" x14ac:dyDescent="0.25">
      <c r="A369" s="19">
        <f>SE!I$1</f>
        <v>45808</v>
      </c>
      <c r="B369" s="20" t="s">
        <v>88</v>
      </c>
      <c r="C369" s="20" t="s">
        <v>42</v>
      </c>
      <c r="D369" s="21">
        <f>SE!I39</f>
        <v>0</v>
      </c>
    </row>
    <row r="370" spans="1:4" hidden="1" x14ac:dyDescent="0.25">
      <c r="A370" s="19">
        <f>SE!J$1</f>
        <v>45838</v>
      </c>
      <c r="B370" s="20" t="s">
        <v>88</v>
      </c>
      <c r="C370" s="20" t="s">
        <v>42</v>
      </c>
      <c r="D370" s="21">
        <f>SE!J39</f>
        <v>6.1698700000000004</v>
      </c>
    </row>
    <row r="371" spans="1:4" hidden="1" x14ac:dyDescent="0.25">
      <c r="A371" s="19">
        <f>SE!K$1</f>
        <v>45869</v>
      </c>
      <c r="B371" s="20" t="s">
        <v>88</v>
      </c>
      <c r="C371" s="20" t="s">
        <v>42</v>
      </c>
      <c r="D371" s="21">
        <f>SE!K39</f>
        <v>6.5629999999999997</v>
      </c>
    </row>
    <row r="372" spans="1:4" hidden="1" x14ac:dyDescent="0.25">
      <c r="A372" s="19">
        <f>SE!L$1</f>
        <v>45900</v>
      </c>
      <c r="B372" s="20" t="s">
        <v>88</v>
      </c>
      <c r="C372" s="20" t="s">
        <v>42</v>
      </c>
      <c r="D372" s="21">
        <f>SE!L39</f>
        <v>3.7965800000000001</v>
      </c>
    </row>
    <row r="373" spans="1:4" hidden="1" x14ac:dyDescent="0.25">
      <c r="A373" s="19">
        <f>SE!M$1</f>
        <v>45930</v>
      </c>
      <c r="B373" s="20" t="s">
        <v>88</v>
      </c>
      <c r="C373" s="20" t="s">
        <v>42</v>
      </c>
      <c r="D373" s="21">
        <f>SE!M39</f>
        <v>1.9001600000000001</v>
      </c>
    </row>
    <row r="374" spans="1:4" hidden="1" x14ac:dyDescent="0.25">
      <c r="A374" s="19">
        <f>SE!B$1</f>
        <v>45596</v>
      </c>
      <c r="B374" s="20" t="s">
        <v>88</v>
      </c>
      <c r="C374" s="20" t="s">
        <v>43</v>
      </c>
      <c r="D374" s="21">
        <f>SE!B40</f>
        <v>0</v>
      </c>
    </row>
    <row r="375" spans="1:4" hidden="1" x14ac:dyDescent="0.25">
      <c r="A375" s="19">
        <f>SE!C$1</f>
        <v>45626</v>
      </c>
      <c r="B375" s="20" t="s">
        <v>88</v>
      </c>
      <c r="C375" s="20" t="s">
        <v>43</v>
      </c>
      <c r="D375" s="21">
        <f>SE!C40</f>
        <v>0</v>
      </c>
    </row>
    <row r="376" spans="1:4" hidden="1" x14ac:dyDescent="0.25">
      <c r="A376" s="19">
        <f>SE!D$1</f>
        <v>45657</v>
      </c>
      <c r="B376" s="20" t="s">
        <v>88</v>
      </c>
      <c r="C376" s="20" t="s">
        <v>43</v>
      </c>
      <c r="D376" s="21">
        <f>SE!D40</f>
        <v>0</v>
      </c>
    </row>
    <row r="377" spans="1:4" hidden="1" x14ac:dyDescent="0.25">
      <c r="A377" s="19">
        <f>SE!E$1</f>
        <v>45688</v>
      </c>
      <c r="B377" s="20" t="s">
        <v>88</v>
      </c>
      <c r="C377" s="20" t="s">
        <v>43</v>
      </c>
      <c r="D377" s="21">
        <f>SE!E40</f>
        <v>0</v>
      </c>
    </row>
    <row r="378" spans="1:4" hidden="1" x14ac:dyDescent="0.25">
      <c r="A378" s="19">
        <f>SE!F$1</f>
        <v>45716</v>
      </c>
      <c r="B378" s="20" t="s">
        <v>88</v>
      </c>
      <c r="C378" s="20" t="s">
        <v>43</v>
      </c>
      <c r="D378" s="21">
        <f>SE!F40</f>
        <v>0</v>
      </c>
    </row>
    <row r="379" spans="1:4" hidden="1" x14ac:dyDescent="0.25">
      <c r="A379" s="19">
        <f>SE!G$1</f>
        <v>45747</v>
      </c>
      <c r="B379" s="20" t="s">
        <v>88</v>
      </c>
      <c r="C379" s="20" t="s">
        <v>43</v>
      </c>
      <c r="D379" s="21">
        <f>SE!G40</f>
        <v>0</v>
      </c>
    </row>
    <row r="380" spans="1:4" hidden="1" x14ac:dyDescent="0.25">
      <c r="A380" s="19">
        <f>SE!H$1</f>
        <v>45777</v>
      </c>
      <c r="B380" s="20" t="s">
        <v>88</v>
      </c>
      <c r="C380" s="20" t="s">
        <v>43</v>
      </c>
      <c r="D380" s="21">
        <f>SE!H40</f>
        <v>0</v>
      </c>
    </row>
    <row r="381" spans="1:4" hidden="1" x14ac:dyDescent="0.25">
      <c r="A381" s="19">
        <f>SE!I$1</f>
        <v>45808</v>
      </c>
      <c r="B381" s="20" t="s">
        <v>88</v>
      </c>
      <c r="C381" s="20" t="s">
        <v>43</v>
      </c>
      <c r="D381" s="21">
        <f>SE!I40</f>
        <v>0</v>
      </c>
    </row>
    <row r="382" spans="1:4" hidden="1" x14ac:dyDescent="0.25">
      <c r="A382" s="19">
        <f>SE!J$1</f>
        <v>45838</v>
      </c>
      <c r="B382" s="20" t="s">
        <v>88</v>
      </c>
      <c r="C382" s="20" t="s">
        <v>43</v>
      </c>
      <c r="D382" s="21">
        <f>SE!J40</f>
        <v>0</v>
      </c>
    </row>
    <row r="383" spans="1:4" hidden="1" x14ac:dyDescent="0.25">
      <c r="A383" s="19">
        <f>SE!K$1</f>
        <v>45869</v>
      </c>
      <c r="B383" s="20" t="s">
        <v>88</v>
      </c>
      <c r="C383" s="20" t="s">
        <v>43</v>
      </c>
      <c r="D383" s="21">
        <f>SE!K40</f>
        <v>0</v>
      </c>
    </row>
    <row r="384" spans="1:4" hidden="1" x14ac:dyDescent="0.25">
      <c r="A384" s="19">
        <f>SE!L$1</f>
        <v>45900</v>
      </c>
      <c r="B384" s="20" t="s">
        <v>88</v>
      </c>
      <c r="C384" s="20" t="s">
        <v>43</v>
      </c>
      <c r="D384" s="21">
        <f>SE!L40</f>
        <v>0</v>
      </c>
    </row>
    <row r="385" spans="1:4" hidden="1" x14ac:dyDescent="0.25">
      <c r="A385" s="19">
        <f>SE!M$1</f>
        <v>45930</v>
      </c>
      <c r="B385" s="20" t="s">
        <v>88</v>
      </c>
      <c r="C385" s="20" t="s">
        <v>43</v>
      </c>
      <c r="D385" s="21">
        <f>SE!M40</f>
        <v>0</v>
      </c>
    </row>
    <row r="386" spans="1:4" hidden="1" x14ac:dyDescent="0.25">
      <c r="A386" s="19">
        <f>SE!B$1</f>
        <v>45596</v>
      </c>
      <c r="B386" s="20" t="s">
        <v>88</v>
      </c>
      <c r="C386" s="20" t="s">
        <v>44</v>
      </c>
      <c r="D386" s="21">
        <f>SE!B41</f>
        <v>21.12828</v>
      </c>
    </row>
    <row r="387" spans="1:4" hidden="1" x14ac:dyDescent="0.25">
      <c r="A387" s="19">
        <f>SE!C$1</f>
        <v>45626</v>
      </c>
      <c r="B387" s="20" t="s">
        <v>88</v>
      </c>
      <c r="C387" s="20" t="s">
        <v>44</v>
      </c>
      <c r="D387" s="21">
        <f>SE!C41</f>
        <v>19.61458</v>
      </c>
    </row>
    <row r="388" spans="1:4" hidden="1" x14ac:dyDescent="0.25">
      <c r="A388" s="19">
        <f>SE!D$1</f>
        <v>45657</v>
      </c>
      <c r="B388" s="20" t="s">
        <v>88</v>
      </c>
      <c r="C388" s="20" t="s">
        <v>44</v>
      </c>
      <c r="D388" s="21">
        <f>SE!D41</f>
        <v>52.874020000000002</v>
      </c>
    </row>
    <row r="389" spans="1:4" hidden="1" x14ac:dyDescent="0.25">
      <c r="A389" s="19">
        <f>SE!E$1</f>
        <v>45688</v>
      </c>
      <c r="B389" s="20" t="s">
        <v>88</v>
      </c>
      <c r="C389" s="20" t="s">
        <v>44</v>
      </c>
      <c r="D389" s="21">
        <f>SE!E41</f>
        <v>38.672809999999998</v>
      </c>
    </row>
    <row r="390" spans="1:4" hidden="1" x14ac:dyDescent="0.25">
      <c r="A390" s="19">
        <f>SE!F$1</f>
        <v>45716</v>
      </c>
      <c r="B390" s="20" t="s">
        <v>88</v>
      </c>
      <c r="C390" s="20" t="s">
        <v>44</v>
      </c>
      <c r="D390" s="21">
        <f>SE!F41</f>
        <v>31.139330000000001</v>
      </c>
    </row>
    <row r="391" spans="1:4" hidden="1" x14ac:dyDescent="0.25">
      <c r="A391" s="19">
        <f>SE!G$1</f>
        <v>45747</v>
      </c>
      <c r="B391" s="20" t="s">
        <v>88</v>
      </c>
      <c r="C391" s="20" t="s">
        <v>44</v>
      </c>
      <c r="D391" s="21">
        <f>SE!G41</f>
        <v>46.603110000000001</v>
      </c>
    </row>
    <row r="392" spans="1:4" hidden="1" x14ac:dyDescent="0.25">
      <c r="A392" s="19">
        <f>SE!H$1</f>
        <v>45777</v>
      </c>
      <c r="B392" s="20" t="s">
        <v>88</v>
      </c>
      <c r="C392" s="20" t="s">
        <v>44</v>
      </c>
      <c r="D392" s="21">
        <f>SE!H41</f>
        <v>36.286119999999997</v>
      </c>
    </row>
    <row r="393" spans="1:4" hidden="1" x14ac:dyDescent="0.25">
      <c r="A393" s="19">
        <f>SE!I$1</f>
        <v>45808</v>
      </c>
      <c r="B393" s="20" t="s">
        <v>88</v>
      </c>
      <c r="C393" s="20" t="s">
        <v>44</v>
      </c>
      <c r="D393" s="21">
        <f>SE!I41</f>
        <v>29.600919999999999</v>
      </c>
    </row>
    <row r="394" spans="1:4" hidden="1" x14ac:dyDescent="0.25">
      <c r="A394" s="19">
        <f>SE!J$1</f>
        <v>45838</v>
      </c>
      <c r="B394" s="20" t="s">
        <v>88</v>
      </c>
      <c r="C394" s="20" t="s">
        <v>44</v>
      </c>
      <c r="D394" s="21">
        <f>SE!J41</f>
        <v>36.486829999999998</v>
      </c>
    </row>
    <row r="395" spans="1:4" hidden="1" x14ac:dyDescent="0.25">
      <c r="A395" s="19">
        <f>SE!K$1</f>
        <v>45869</v>
      </c>
      <c r="B395" s="20" t="s">
        <v>88</v>
      </c>
      <c r="C395" s="20" t="s">
        <v>44</v>
      </c>
      <c r="D395" s="21">
        <f>SE!K41</f>
        <v>22.337319999999998</v>
      </c>
    </row>
    <row r="396" spans="1:4" hidden="1" x14ac:dyDescent="0.25">
      <c r="A396" s="19">
        <f>SE!L$1</f>
        <v>45900</v>
      </c>
      <c r="B396" s="20" t="s">
        <v>88</v>
      </c>
      <c r="C396" s="20" t="s">
        <v>44</v>
      </c>
      <c r="D396" s="21">
        <f>SE!L41</f>
        <v>29.957319999999999</v>
      </c>
    </row>
    <row r="397" spans="1:4" hidden="1" x14ac:dyDescent="0.25">
      <c r="A397" s="19">
        <f>SE!M$1</f>
        <v>45930</v>
      </c>
      <c r="B397" s="20" t="s">
        <v>88</v>
      </c>
      <c r="C397" s="20" t="s">
        <v>44</v>
      </c>
      <c r="D397" s="21">
        <f>SE!M41</f>
        <v>24.25469</v>
      </c>
    </row>
    <row r="398" spans="1:4" hidden="1" x14ac:dyDescent="0.25">
      <c r="A398" s="19">
        <f>SE!B$1</f>
        <v>45596</v>
      </c>
      <c r="B398" s="20" t="s">
        <v>88</v>
      </c>
      <c r="C398" s="20" t="s">
        <v>45</v>
      </c>
      <c r="D398" s="21">
        <f>SE!B42</f>
        <v>0</v>
      </c>
    </row>
    <row r="399" spans="1:4" hidden="1" x14ac:dyDescent="0.25">
      <c r="A399" s="19">
        <f>SE!C$1</f>
        <v>45626</v>
      </c>
      <c r="B399" s="20" t="s">
        <v>88</v>
      </c>
      <c r="C399" s="20" t="s">
        <v>45</v>
      </c>
      <c r="D399" s="21">
        <f>SE!C42</f>
        <v>0</v>
      </c>
    </row>
    <row r="400" spans="1:4" hidden="1" x14ac:dyDescent="0.25">
      <c r="A400" s="19">
        <f>SE!D$1</f>
        <v>45657</v>
      </c>
      <c r="B400" s="20" t="s">
        <v>88</v>
      </c>
      <c r="C400" s="20" t="s">
        <v>45</v>
      </c>
      <c r="D400" s="21">
        <f>SE!D42</f>
        <v>0</v>
      </c>
    </row>
    <row r="401" spans="1:4" hidden="1" x14ac:dyDescent="0.25">
      <c r="A401" s="19">
        <f>SE!E$1</f>
        <v>45688</v>
      </c>
      <c r="B401" s="20" t="s">
        <v>88</v>
      </c>
      <c r="C401" s="20" t="s">
        <v>45</v>
      </c>
      <c r="D401" s="21">
        <f>SE!E42</f>
        <v>0</v>
      </c>
    </row>
    <row r="402" spans="1:4" hidden="1" x14ac:dyDescent="0.25">
      <c r="A402" s="19">
        <f>SE!F$1</f>
        <v>45716</v>
      </c>
      <c r="B402" s="20" t="s">
        <v>88</v>
      </c>
      <c r="C402" s="20" t="s">
        <v>45</v>
      </c>
      <c r="D402" s="21">
        <f>SE!F42</f>
        <v>0</v>
      </c>
    </row>
    <row r="403" spans="1:4" hidden="1" x14ac:dyDescent="0.25">
      <c r="A403" s="19">
        <f>SE!G$1</f>
        <v>45747</v>
      </c>
      <c r="B403" s="20" t="s">
        <v>88</v>
      </c>
      <c r="C403" s="20" t="s">
        <v>45</v>
      </c>
      <c r="D403" s="21">
        <f>SE!G42</f>
        <v>0</v>
      </c>
    </row>
    <row r="404" spans="1:4" hidden="1" x14ac:dyDescent="0.25">
      <c r="A404" s="19">
        <f>SE!H$1</f>
        <v>45777</v>
      </c>
      <c r="B404" s="20" t="s">
        <v>88</v>
      </c>
      <c r="C404" s="20" t="s">
        <v>45</v>
      </c>
      <c r="D404" s="21">
        <f>SE!H42</f>
        <v>0</v>
      </c>
    </row>
    <row r="405" spans="1:4" hidden="1" x14ac:dyDescent="0.25">
      <c r="A405" s="19">
        <f>SE!I$1</f>
        <v>45808</v>
      </c>
      <c r="B405" s="20" t="s">
        <v>88</v>
      </c>
      <c r="C405" s="20" t="s">
        <v>45</v>
      </c>
      <c r="D405" s="21">
        <f>SE!I42</f>
        <v>0</v>
      </c>
    </row>
    <row r="406" spans="1:4" hidden="1" x14ac:dyDescent="0.25">
      <c r="A406" s="19">
        <f>SE!J$1</f>
        <v>45838</v>
      </c>
      <c r="B406" s="20" t="s">
        <v>88</v>
      </c>
      <c r="C406" s="20" t="s">
        <v>45</v>
      </c>
      <c r="D406" s="21">
        <f>SE!J42</f>
        <v>0</v>
      </c>
    </row>
    <row r="407" spans="1:4" hidden="1" x14ac:dyDescent="0.25">
      <c r="A407" s="19">
        <f>SE!K$1</f>
        <v>45869</v>
      </c>
      <c r="B407" s="20" t="s">
        <v>88</v>
      </c>
      <c r="C407" s="20" t="s">
        <v>45</v>
      </c>
      <c r="D407" s="21">
        <f>SE!K42</f>
        <v>0</v>
      </c>
    </row>
    <row r="408" spans="1:4" hidden="1" x14ac:dyDescent="0.25">
      <c r="A408" s="19">
        <f>SE!L$1</f>
        <v>45900</v>
      </c>
      <c r="B408" s="20" t="s">
        <v>88</v>
      </c>
      <c r="C408" s="20" t="s">
        <v>45</v>
      </c>
      <c r="D408" s="21">
        <f>SE!L42</f>
        <v>0</v>
      </c>
    </row>
    <row r="409" spans="1:4" hidden="1" x14ac:dyDescent="0.25">
      <c r="A409" s="19">
        <f>SE!M$1</f>
        <v>45930</v>
      </c>
      <c r="B409" s="20" t="s">
        <v>88</v>
      </c>
      <c r="C409" s="20" t="s">
        <v>45</v>
      </c>
      <c r="D409" s="21">
        <f>SE!M42</f>
        <v>0</v>
      </c>
    </row>
    <row r="410" spans="1:4" hidden="1" x14ac:dyDescent="0.25">
      <c r="A410" s="19">
        <f>SE!B$1</f>
        <v>45596</v>
      </c>
      <c r="B410" s="20" t="s">
        <v>88</v>
      </c>
      <c r="C410" s="20" t="s">
        <v>46</v>
      </c>
      <c r="D410" s="21">
        <f>SE!B43</f>
        <v>0.18475</v>
      </c>
    </row>
    <row r="411" spans="1:4" hidden="1" x14ac:dyDescent="0.25">
      <c r="A411" s="19">
        <f>SE!C$1</f>
        <v>45626</v>
      </c>
      <c r="B411" s="20" t="s">
        <v>88</v>
      </c>
      <c r="C411" s="20" t="s">
        <v>46</v>
      </c>
      <c r="D411" s="21">
        <f>SE!C43</f>
        <v>0.29951</v>
      </c>
    </row>
    <row r="412" spans="1:4" hidden="1" x14ac:dyDescent="0.25">
      <c r="A412" s="19">
        <f>SE!D$1</f>
        <v>45657</v>
      </c>
      <c r="B412" s="20" t="s">
        <v>88</v>
      </c>
      <c r="C412" s="20" t="s">
        <v>46</v>
      </c>
      <c r="D412" s="21">
        <f>SE!D43</f>
        <v>1.08992</v>
      </c>
    </row>
    <row r="413" spans="1:4" hidden="1" x14ac:dyDescent="0.25">
      <c r="A413" s="19">
        <f>SE!E$1</f>
        <v>45688</v>
      </c>
      <c r="B413" s="20" t="s">
        <v>88</v>
      </c>
      <c r="C413" s="20" t="s">
        <v>46</v>
      </c>
      <c r="D413" s="21">
        <f>SE!E43</f>
        <v>1.2001599999999999</v>
      </c>
    </row>
    <row r="414" spans="1:4" hidden="1" x14ac:dyDescent="0.25">
      <c r="A414" s="19">
        <f>SE!F$1</f>
        <v>45716</v>
      </c>
      <c r="B414" s="20" t="s">
        <v>88</v>
      </c>
      <c r="C414" s="20" t="s">
        <v>46</v>
      </c>
      <c r="D414" s="21">
        <f>SE!F43</f>
        <v>7.7827299999999999</v>
      </c>
    </row>
    <row r="415" spans="1:4" hidden="1" x14ac:dyDescent="0.25">
      <c r="A415" s="19">
        <f>SE!G$1</f>
        <v>45747</v>
      </c>
      <c r="B415" s="20" t="s">
        <v>88</v>
      </c>
      <c r="C415" s="20" t="s">
        <v>46</v>
      </c>
      <c r="D415" s="21">
        <f>SE!G43</f>
        <v>1.3207899999999999</v>
      </c>
    </row>
    <row r="416" spans="1:4" hidden="1" x14ac:dyDescent="0.25">
      <c r="A416" s="19">
        <f>SE!H$1</f>
        <v>45777</v>
      </c>
      <c r="B416" s="20" t="s">
        <v>88</v>
      </c>
      <c r="C416" s="20" t="s">
        <v>46</v>
      </c>
      <c r="D416" s="21">
        <f>SE!H43</f>
        <v>57.002029999999998</v>
      </c>
    </row>
    <row r="417" spans="1:4" hidden="1" x14ac:dyDescent="0.25">
      <c r="A417" s="19">
        <f>SE!I$1</f>
        <v>45808</v>
      </c>
      <c r="B417" s="20" t="s">
        <v>88</v>
      </c>
      <c r="C417" s="20" t="s">
        <v>46</v>
      </c>
      <c r="D417" s="21">
        <f>SE!I43</f>
        <v>9.7521299999999993</v>
      </c>
    </row>
    <row r="418" spans="1:4" hidden="1" x14ac:dyDescent="0.25">
      <c r="A418" s="19">
        <f>SE!J$1</f>
        <v>45838</v>
      </c>
      <c r="B418" s="20" t="s">
        <v>88</v>
      </c>
      <c r="C418" s="20" t="s">
        <v>46</v>
      </c>
      <c r="D418" s="21">
        <f>SE!J43</f>
        <v>0</v>
      </c>
    </row>
    <row r="419" spans="1:4" hidden="1" x14ac:dyDescent="0.25">
      <c r="A419" s="19">
        <f>SE!K$1</f>
        <v>45869</v>
      </c>
      <c r="B419" s="20" t="s">
        <v>88</v>
      </c>
      <c r="C419" s="20" t="s">
        <v>46</v>
      </c>
      <c r="D419" s="21">
        <f>SE!K43</f>
        <v>0.43281999999999998</v>
      </c>
    </row>
    <row r="420" spans="1:4" hidden="1" x14ac:dyDescent="0.25">
      <c r="A420" s="19">
        <f>SE!L$1</f>
        <v>45900</v>
      </c>
      <c r="B420" s="20" t="s">
        <v>88</v>
      </c>
      <c r="C420" s="20" t="s">
        <v>46</v>
      </c>
      <c r="D420" s="21">
        <f>SE!L43</f>
        <v>12.476509999999999</v>
      </c>
    </row>
    <row r="421" spans="1:4" hidden="1" x14ac:dyDescent="0.25">
      <c r="A421" s="19">
        <f>SE!M$1</f>
        <v>45930</v>
      </c>
      <c r="B421" s="20" t="s">
        <v>88</v>
      </c>
      <c r="C421" s="20" t="s">
        <v>46</v>
      </c>
      <c r="D421" s="21">
        <f>SE!M43</f>
        <v>0.57516</v>
      </c>
    </row>
    <row r="422" spans="1:4" hidden="1" x14ac:dyDescent="0.25">
      <c r="A422" s="19">
        <f>SE!B$1</f>
        <v>45596</v>
      </c>
      <c r="B422" s="20" t="s">
        <v>88</v>
      </c>
      <c r="C422" s="20" t="s">
        <v>47</v>
      </c>
      <c r="D422" s="21">
        <f>SE!B44</f>
        <v>4.7646300000000004</v>
      </c>
    </row>
    <row r="423" spans="1:4" hidden="1" x14ac:dyDescent="0.25">
      <c r="A423" s="19">
        <f>SE!C$1</f>
        <v>45626</v>
      </c>
      <c r="B423" s="20" t="s">
        <v>88</v>
      </c>
      <c r="C423" s="20" t="s">
        <v>47</v>
      </c>
      <c r="D423" s="21">
        <f>SE!C44</f>
        <v>2.8214999999999999</v>
      </c>
    </row>
    <row r="424" spans="1:4" hidden="1" x14ac:dyDescent="0.25">
      <c r="A424" s="19">
        <f>SE!D$1</f>
        <v>45657</v>
      </c>
      <c r="B424" s="20" t="s">
        <v>88</v>
      </c>
      <c r="C424" s="20" t="s">
        <v>47</v>
      </c>
      <c r="D424" s="21">
        <f>SE!D44</f>
        <v>2.8214999999999999</v>
      </c>
    </row>
    <row r="425" spans="1:4" hidden="1" x14ac:dyDescent="0.25">
      <c r="A425" s="19">
        <f>SE!E$1</f>
        <v>45688</v>
      </c>
      <c r="B425" s="20" t="s">
        <v>88</v>
      </c>
      <c r="C425" s="20" t="s">
        <v>47</v>
      </c>
      <c r="D425" s="21">
        <f>SE!E44</f>
        <v>7.9420000000000002</v>
      </c>
    </row>
    <row r="426" spans="1:4" hidden="1" x14ac:dyDescent="0.25">
      <c r="A426" s="19">
        <f>SE!F$1</f>
        <v>45716</v>
      </c>
      <c r="B426" s="20" t="s">
        <v>88</v>
      </c>
      <c r="C426" s="20" t="s">
        <v>47</v>
      </c>
      <c r="D426" s="21">
        <f>SE!F44</f>
        <v>6.0880000000000001</v>
      </c>
    </row>
    <row r="427" spans="1:4" hidden="1" x14ac:dyDescent="0.25">
      <c r="A427" s="19">
        <f>SE!G$1</f>
        <v>45747</v>
      </c>
      <c r="B427" s="20" t="s">
        <v>88</v>
      </c>
      <c r="C427" s="20" t="s">
        <v>47</v>
      </c>
      <c r="D427" s="21">
        <f>SE!G44</f>
        <v>5.1204999999999998</v>
      </c>
    </row>
    <row r="428" spans="1:4" hidden="1" x14ac:dyDescent="0.25">
      <c r="A428" s="19">
        <f>SE!H$1</f>
        <v>45777</v>
      </c>
      <c r="B428" s="20" t="s">
        <v>88</v>
      </c>
      <c r="C428" s="20" t="s">
        <v>47</v>
      </c>
      <c r="D428" s="21">
        <f>SE!H44</f>
        <v>4.8331200000000001</v>
      </c>
    </row>
    <row r="429" spans="1:4" hidden="1" x14ac:dyDescent="0.25">
      <c r="A429" s="19">
        <f>SE!I$1</f>
        <v>45808</v>
      </c>
      <c r="B429" s="20" t="s">
        <v>88</v>
      </c>
      <c r="C429" s="20" t="s">
        <v>47</v>
      </c>
      <c r="D429" s="21">
        <f>SE!I44</f>
        <v>15.4925</v>
      </c>
    </row>
    <row r="430" spans="1:4" hidden="1" x14ac:dyDescent="0.25">
      <c r="A430" s="19">
        <f>SE!J$1</f>
        <v>45838</v>
      </c>
      <c r="B430" s="20" t="s">
        <v>88</v>
      </c>
      <c r="C430" s="20" t="s">
        <v>47</v>
      </c>
      <c r="D430" s="21">
        <f>SE!J44</f>
        <v>14.894500000000001</v>
      </c>
    </row>
    <row r="431" spans="1:4" hidden="1" x14ac:dyDescent="0.25">
      <c r="A431" s="19">
        <f>SE!K$1</f>
        <v>45869</v>
      </c>
      <c r="B431" s="20" t="s">
        <v>88</v>
      </c>
      <c r="C431" s="20" t="s">
        <v>47</v>
      </c>
      <c r="D431" s="21">
        <f>SE!K44</f>
        <v>14.57328</v>
      </c>
    </row>
    <row r="432" spans="1:4" hidden="1" x14ac:dyDescent="0.25">
      <c r="A432" s="19">
        <f>SE!L$1</f>
        <v>45900</v>
      </c>
      <c r="B432" s="20" t="s">
        <v>88</v>
      </c>
      <c r="C432" s="20" t="s">
        <v>47</v>
      </c>
      <c r="D432" s="21">
        <f>SE!L44</f>
        <v>9.7739999999999991</v>
      </c>
    </row>
    <row r="433" spans="1:4" hidden="1" x14ac:dyDescent="0.25">
      <c r="A433" s="19">
        <f>SE!M$1</f>
        <v>45930</v>
      </c>
      <c r="B433" s="20" t="s">
        <v>88</v>
      </c>
      <c r="C433" s="20" t="s">
        <v>47</v>
      </c>
      <c r="D433" s="21">
        <f>SE!M44</f>
        <v>8.8335000000000008</v>
      </c>
    </row>
    <row r="434" spans="1:4" hidden="1" x14ac:dyDescent="0.25">
      <c r="A434" s="19">
        <f>SE!B$1</f>
        <v>45596</v>
      </c>
      <c r="B434" s="20" t="s">
        <v>88</v>
      </c>
      <c r="C434" s="20" t="s">
        <v>48</v>
      </c>
      <c r="D434" s="21">
        <f>SE!B45</f>
        <v>28.0398</v>
      </c>
    </row>
    <row r="435" spans="1:4" hidden="1" x14ac:dyDescent="0.25">
      <c r="A435" s="19">
        <f>SE!C$1</f>
        <v>45626</v>
      </c>
      <c r="B435" s="20" t="s">
        <v>88</v>
      </c>
      <c r="C435" s="20" t="s">
        <v>48</v>
      </c>
      <c r="D435" s="21">
        <f>SE!C45</f>
        <v>24.673819999999999</v>
      </c>
    </row>
    <row r="436" spans="1:4" hidden="1" x14ac:dyDescent="0.25">
      <c r="A436" s="19">
        <f>SE!D$1</f>
        <v>45657</v>
      </c>
      <c r="B436" s="20" t="s">
        <v>88</v>
      </c>
      <c r="C436" s="20" t="s">
        <v>48</v>
      </c>
      <c r="D436" s="21">
        <f>SE!D45</f>
        <v>26.528770000000002</v>
      </c>
    </row>
    <row r="437" spans="1:4" hidden="1" x14ac:dyDescent="0.25">
      <c r="A437" s="19">
        <f>SE!E$1</f>
        <v>45688</v>
      </c>
      <c r="B437" s="20" t="s">
        <v>88</v>
      </c>
      <c r="C437" s="20" t="s">
        <v>48</v>
      </c>
      <c r="D437" s="21">
        <f>SE!E45</f>
        <v>34.613939999999999</v>
      </c>
    </row>
    <row r="438" spans="1:4" hidden="1" x14ac:dyDescent="0.25">
      <c r="A438" s="19">
        <f>SE!F$1</f>
        <v>45716</v>
      </c>
      <c r="B438" s="20" t="s">
        <v>88</v>
      </c>
      <c r="C438" s="20" t="s">
        <v>48</v>
      </c>
      <c r="D438" s="21">
        <f>SE!F45</f>
        <v>37.729500000000002</v>
      </c>
    </row>
    <row r="439" spans="1:4" hidden="1" x14ac:dyDescent="0.25">
      <c r="A439" s="19">
        <f>SE!G$1</f>
        <v>45747</v>
      </c>
      <c r="B439" s="20" t="s">
        <v>88</v>
      </c>
      <c r="C439" s="20" t="s">
        <v>48</v>
      </c>
      <c r="D439" s="21">
        <f>SE!G45</f>
        <v>28.927669999999999</v>
      </c>
    </row>
    <row r="440" spans="1:4" hidden="1" x14ac:dyDescent="0.25">
      <c r="A440" s="19">
        <f>SE!H$1</f>
        <v>45777</v>
      </c>
      <c r="B440" s="20" t="s">
        <v>88</v>
      </c>
      <c r="C440" s="20" t="s">
        <v>48</v>
      </c>
      <c r="D440" s="21">
        <f>SE!H45</f>
        <v>31.977219999999999</v>
      </c>
    </row>
    <row r="441" spans="1:4" hidden="1" x14ac:dyDescent="0.25">
      <c r="A441" s="19">
        <f>SE!I$1</f>
        <v>45808</v>
      </c>
      <c r="B441" s="20" t="s">
        <v>88</v>
      </c>
      <c r="C441" s="20" t="s">
        <v>48</v>
      </c>
      <c r="D441" s="21">
        <f>SE!I45</f>
        <v>35.527740000000001</v>
      </c>
    </row>
    <row r="442" spans="1:4" hidden="1" x14ac:dyDescent="0.25">
      <c r="A442" s="19">
        <f>SE!J$1</f>
        <v>45838</v>
      </c>
      <c r="B442" s="20" t="s">
        <v>88</v>
      </c>
      <c r="C442" s="20" t="s">
        <v>48</v>
      </c>
      <c r="D442" s="21">
        <f>SE!J45</f>
        <v>32.589910000000003</v>
      </c>
    </row>
    <row r="443" spans="1:4" hidden="1" x14ac:dyDescent="0.25">
      <c r="A443" s="19">
        <f>SE!K$1</f>
        <v>45869</v>
      </c>
      <c r="B443" s="20" t="s">
        <v>88</v>
      </c>
      <c r="C443" s="20" t="s">
        <v>48</v>
      </c>
      <c r="D443" s="21">
        <f>SE!K45</f>
        <v>25.433949999999999</v>
      </c>
    </row>
    <row r="444" spans="1:4" hidden="1" x14ac:dyDescent="0.25">
      <c r="A444" s="19">
        <f>SE!L$1</f>
        <v>45900</v>
      </c>
      <c r="B444" s="20" t="s">
        <v>88</v>
      </c>
      <c r="C444" s="20" t="s">
        <v>48</v>
      </c>
      <c r="D444" s="21">
        <f>SE!L45</f>
        <v>21.826709999999999</v>
      </c>
    </row>
    <row r="445" spans="1:4" hidden="1" x14ac:dyDescent="0.25">
      <c r="A445" s="19">
        <f>SE!M$1</f>
        <v>45930</v>
      </c>
      <c r="B445" s="20" t="s">
        <v>88</v>
      </c>
      <c r="C445" s="20" t="s">
        <v>48</v>
      </c>
      <c r="D445" s="21">
        <f>SE!M45</f>
        <v>24.518350000000002</v>
      </c>
    </row>
    <row r="446" spans="1:4" hidden="1" x14ac:dyDescent="0.25">
      <c r="A446" s="19">
        <f>SE!B$1</f>
        <v>45596</v>
      </c>
      <c r="B446" s="20" t="s">
        <v>88</v>
      </c>
      <c r="C446" s="20" t="s">
        <v>49</v>
      </c>
      <c r="D446" s="21">
        <f>SE!B46</f>
        <v>16.1235</v>
      </c>
    </row>
    <row r="447" spans="1:4" hidden="1" x14ac:dyDescent="0.25">
      <c r="A447" s="19">
        <f>SE!C$1</f>
        <v>45626</v>
      </c>
      <c r="B447" s="20" t="s">
        <v>88</v>
      </c>
      <c r="C447" s="20" t="s">
        <v>49</v>
      </c>
      <c r="D447" s="21">
        <f>SE!C46</f>
        <v>0.51824999999999999</v>
      </c>
    </row>
    <row r="448" spans="1:4" hidden="1" x14ac:dyDescent="0.25">
      <c r="A448" s="19">
        <f>SE!D$1</f>
        <v>45657</v>
      </c>
      <c r="B448" s="20" t="s">
        <v>88</v>
      </c>
      <c r="C448" s="20" t="s">
        <v>49</v>
      </c>
      <c r="D448" s="21">
        <f>SE!D46</f>
        <v>0.65100000000000002</v>
      </c>
    </row>
    <row r="449" spans="1:4" hidden="1" x14ac:dyDescent="0.25">
      <c r="A449" s="19">
        <f>SE!E$1</f>
        <v>45688</v>
      </c>
      <c r="B449" s="20" t="s">
        <v>88</v>
      </c>
      <c r="C449" s="20" t="s">
        <v>49</v>
      </c>
      <c r="D449" s="21">
        <f>SE!E46</f>
        <v>0.39200000000000002</v>
      </c>
    </row>
    <row r="450" spans="1:4" hidden="1" x14ac:dyDescent="0.25">
      <c r="A450" s="19">
        <f>SE!F$1</f>
        <v>45716</v>
      </c>
      <c r="B450" s="20" t="s">
        <v>88</v>
      </c>
      <c r="C450" s="20" t="s">
        <v>49</v>
      </c>
      <c r="D450" s="21">
        <f>SE!F46</f>
        <v>0.39200000000000002</v>
      </c>
    </row>
    <row r="451" spans="1:4" hidden="1" x14ac:dyDescent="0.25">
      <c r="A451" s="19">
        <f>SE!G$1</f>
        <v>45747</v>
      </c>
      <c r="B451" s="20" t="s">
        <v>88</v>
      </c>
      <c r="C451" s="20" t="s">
        <v>49</v>
      </c>
      <c r="D451" s="21">
        <f>SE!G46</f>
        <v>0.39200000000000002</v>
      </c>
    </row>
    <row r="452" spans="1:4" hidden="1" x14ac:dyDescent="0.25">
      <c r="A452" s="19">
        <f>SE!H$1</f>
        <v>45777</v>
      </c>
      <c r="B452" s="20" t="s">
        <v>88</v>
      </c>
      <c r="C452" s="20" t="s">
        <v>49</v>
      </c>
      <c r="D452" s="21">
        <f>SE!H46</f>
        <v>1.8149999999999999</v>
      </c>
    </row>
    <row r="453" spans="1:4" hidden="1" x14ac:dyDescent="0.25">
      <c r="A453" s="19">
        <f>SE!I$1</f>
        <v>45808</v>
      </c>
      <c r="B453" s="20" t="s">
        <v>88</v>
      </c>
      <c r="C453" s="20" t="s">
        <v>49</v>
      </c>
      <c r="D453" s="21">
        <f>SE!I46</f>
        <v>29.076779999999999</v>
      </c>
    </row>
    <row r="454" spans="1:4" hidden="1" x14ac:dyDescent="0.25">
      <c r="A454" s="19">
        <f>SE!J$1</f>
        <v>45838</v>
      </c>
      <c r="B454" s="20" t="s">
        <v>88</v>
      </c>
      <c r="C454" s="20" t="s">
        <v>49</v>
      </c>
      <c r="D454" s="21">
        <f>SE!J46</f>
        <v>18.632999999999999</v>
      </c>
    </row>
    <row r="455" spans="1:4" hidden="1" x14ac:dyDescent="0.25">
      <c r="A455" s="19">
        <f>SE!K$1</f>
        <v>45869</v>
      </c>
      <c r="B455" s="20" t="s">
        <v>88</v>
      </c>
      <c r="C455" s="20" t="s">
        <v>49</v>
      </c>
      <c r="D455" s="21">
        <f>SE!K46</f>
        <v>37.225999999999999</v>
      </c>
    </row>
    <row r="456" spans="1:4" hidden="1" x14ac:dyDescent="0.25">
      <c r="A456" s="19">
        <f>SE!L$1</f>
        <v>45900</v>
      </c>
      <c r="B456" s="20" t="s">
        <v>88</v>
      </c>
      <c r="C456" s="20" t="s">
        <v>49</v>
      </c>
      <c r="D456" s="21">
        <f>SE!L46</f>
        <v>19.346</v>
      </c>
    </row>
    <row r="457" spans="1:4" hidden="1" x14ac:dyDescent="0.25">
      <c r="A457" s="19">
        <f>SE!M$1</f>
        <v>45930</v>
      </c>
      <c r="B457" s="20" t="s">
        <v>88</v>
      </c>
      <c r="C457" s="20" t="s">
        <v>49</v>
      </c>
      <c r="D457" s="21">
        <f>SE!M46</f>
        <v>18.821999999999999</v>
      </c>
    </row>
    <row r="458" spans="1:4" hidden="1" x14ac:dyDescent="0.25">
      <c r="A458" s="19">
        <f>SE!B$1</f>
        <v>45596</v>
      </c>
      <c r="B458" s="20" t="s">
        <v>88</v>
      </c>
      <c r="C458" s="20" t="s">
        <v>50</v>
      </c>
      <c r="D458" s="21">
        <f>SE!B47</f>
        <v>4.1776200000000001</v>
      </c>
    </row>
    <row r="459" spans="1:4" hidden="1" x14ac:dyDescent="0.25">
      <c r="A459" s="19">
        <f>SE!C$1</f>
        <v>45626</v>
      </c>
      <c r="B459" s="20" t="s">
        <v>88</v>
      </c>
      <c r="C459" s="20" t="s">
        <v>50</v>
      </c>
      <c r="D459" s="21">
        <f>SE!C47</f>
        <v>4.8170999999999999</v>
      </c>
    </row>
    <row r="460" spans="1:4" hidden="1" x14ac:dyDescent="0.25">
      <c r="A460" s="19">
        <f>SE!D$1</f>
        <v>45657</v>
      </c>
      <c r="B460" s="20" t="s">
        <v>88</v>
      </c>
      <c r="C460" s="20" t="s">
        <v>50</v>
      </c>
      <c r="D460" s="21">
        <f>SE!D47</f>
        <v>6.70695</v>
      </c>
    </row>
    <row r="461" spans="1:4" hidden="1" x14ac:dyDescent="0.25">
      <c r="A461" s="19">
        <f>SE!E$1</f>
        <v>45688</v>
      </c>
      <c r="B461" s="20" t="s">
        <v>88</v>
      </c>
      <c r="C461" s="20" t="s">
        <v>50</v>
      </c>
      <c r="D461" s="21">
        <f>SE!E47</f>
        <v>6.6060299999999996</v>
      </c>
    </row>
    <row r="462" spans="1:4" hidden="1" x14ac:dyDescent="0.25">
      <c r="A462" s="19">
        <f>SE!F$1</f>
        <v>45716</v>
      </c>
      <c r="B462" s="20" t="s">
        <v>88</v>
      </c>
      <c r="C462" s="20" t="s">
        <v>50</v>
      </c>
      <c r="D462" s="21">
        <f>SE!F47</f>
        <v>5.7696899999999998</v>
      </c>
    </row>
    <row r="463" spans="1:4" hidden="1" x14ac:dyDescent="0.25">
      <c r="A463" s="19">
        <f>SE!G$1</f>
        <v>45747</v>
      </c>
      <c r="B463" s="20" t="s">
        <v>88</v>
      </c>
      <c r="C463" s="20" t="s">
        <v>50</v>
      </c>
      <c r="D463" s="21">
        <f>SE!G47</f>
        <v>4.5281900000000004</v>
      </c>
    </row>
    <row r="464" spans="1:4" hidden="1" x14ac:dyDescent="0.25">
      <c r="A464" s="19">
        <f>SE!H$1</f>
        <v>45777</v>
      </c>
      <c r="B464" s="20" t="s">
        <v>88</v>
      </c>
      <c r="C464" s="20" t="s">
        <v>50</v>
      </c>
      <c r="D464" s="21">
        <f>SE!H47</f>
        <v>3.0612900000000001</v>
      </c>
    </row>
    <row r="465" spans="1:4" hidden="1" x14ac:dyDescent="0.25">
      <c r="A465" s="19">
        <f>SE!I$1</f>
        <v>45808</v>
      </c>
      <c r="B465" s="20" t="s">
        <v>88</v>
      </c>
      <c r="C465" s="20" t="s">
        <v>50</v>
      </c>
      <c r="D465" s="21">
        <f>SE!I47</f>
        <v>10.43684</v>
      </c>
    </row>
    <row r="466" spans="1:4" hidden="1" x14ac:dyDescent="0.25">
      <c r="A466" s="19">
        <f>SE!J$1</f>
        <v>45838</v>
      </c>
      <c r="B466" s="20" t="s">
        <v>88</v>
      </c>
      <c r="C466" s="20" t="s">
        <v>50</v>
      </c>
      <c r="D466" s="21">
        <f>SE!J47</f>
        <v>7.5474600000000001</v>
      </c>
    </row>
    <row r="467" spans="1:4" hidden="1" x14ac:dyDescent="0.25">
      <c r="A467" s="19">
        <f>SE!K$1</f>
        <v>45869</v>
      </c>
      <c r="B467" s="20" t="s">
        <v>88</v>
      </c>
      <c r="C467" s="20" t="s">
        <v>50</v>
      </c>
      <c r="D467" s="21">
        <f>SE!K47</f>
        <v>3.5304899999999999</v>
      </c>
    </row>
    <row r="468" spans="1:4" hidden="1" x14ac:dyDescent="0.25">
      <c r="A468" s="19">
        <f>SE!L$1</f>
        <v>45900</v>
      </c>
      <c r="B468" s="20" t="s">
        <v>88</v>
      </c>
      <c r="C468" s="20" t="s">
        <v>50</v>
      </c>
      <c r="D468" s="21">
        <f>SE!L47</f>
        <v>4.27942</v>
      </c>
    </row>
    <row r="469" spans="1:4" hidden="1" x14ac:dyDescent="0.25">
      <c r="A469" s="19">
        <f>SE!M$1</f>
        <v>45930</v>
      </c>
      <c r="B469" s="20" t="s">
        <v>88</v>
      </c>
      <c r="C469" s="20" t="s">
        <v>50</v>
      </c>
      <c r="D469" s="21">
        <f>SE!M47</f>
        <v>3.38219</v>
      </c>
    </row>
    <row r="470" spans="1:4" hidden="1" x14ac:dyDescent="0.25">
      <c r="A470" s="19">
        <f>SE!B$1</f>
        <v>45596</v>
      </c>
      <c r="B470" s="20" t="s">
        <v>88</v>
      </c>
      <c r="C470" s="20" t="s">
        <v>51</v>
      </c>
      <c r="D470" s="21">
        <f>SE!B48</f>
        <v>1.4456</v>
      </c>
    </row>
    <row r="471" spans="1:4" hidden="1" x14ac:dyDescent="0.25">
      <c r="A471" s="19">
        <f>SE!C$1</f>
        <v>45626</v>
      </c>
      <c r="B471" s="20" t="s">
        <v>88</v>
      </c>
      <c r="C471" s="20" t="s">
        <v>51</v>
      </c>
      <c r="D471" s="21">
        <f>SE!C48</f>
        <v>0</v>
      </c>
    </row>
    <row r="472" spans="1:4" hidden="1" x14ac:dyDescent="0.25">
      <c r="A472" s="19">
        <f>SE!D$1</f>
        <v>45657</v>
      </c>
      <c r="B472" s="20" t="s">
        <v>88</v>
      </c>
      <c r="C472" s="20" t="s">
        <v>51</v>
      </c>
      <c r="D472" s="21">
        <f>SE!D48</f>
        <v>0</v>
      </c>
    </row>
    <row r="473" spans="1:4" hidden="1" x14ac:dyDescent="0.25">
      <c r="A473" s="19">
        <f>SE!E$1</f>
        <v>45688</v>
      </c>
      <c r="B473" s="20" t="s">
        <v>88</v>
      </c>
      <c r="C473" s="20" t="s">
        <v>51</v>
      </c>
      <c r="D473" s="21">
        <f>SE!E48</f>
        <v>0</v>
      </c>
    </row>
    <row r="474" spans="1:4" hidden="1" x14ac:dyDescent="0.25">
      <c r="A474" s="19">
        <f>SE!F$1</f>
        <v>45716</v>
      </c>
      <c r="B474" s="20" t="s">
        <v>88</v>
      </c>
      <c r="C474" s="20" t="s">
        <v>51</v>
      </c>
      <c r="D474" s="21">
        <f>SE!F48</f>
        <v>0</v>
      </c>
    </row>
    <row r="475" spans="1:4" hidden="1" x14ac:dyDescent="0.25">
      <c r="A475" s="19">
        <f>SE!G$1</f>
        <v>45747</v>
      </c>
      <c r="B475" s="20" t="s">
        <v>88</v>
      </c>
      <c r="C475" s="20" t="s">
        <v>51</v>
      </c>
      <c r="D475" s="21">
        <f>SE!G48</f>
        <v>0</v>
      </c>
    </row>
    <row r="476" spans="1:4" hidden="1" x14ac:dyDescent="0.25">
      <c r="A476" s="19">
        <f>SE!H$1</f>
        <v>45777</v>
      </c>
      <c r="B476" s="20" t="s">
        <v>88</v>
      </c>
      <c r="C476" s="20" t="s">
        <v>51</v>
      </c>
      <c r="D476" s="21">
        <f>SE!H48</f>
        <v>0</v>
      </c>
    </row>
    <row r="477" spans="1:4" hidden="1" x14ac:dyDescent="0.25">
      <c r="A477" s="19">
        <f>SE!I$1</f>
        <v>45808</v>
      </c>
      <c r="B477" s="20" t="s">
        <v>88</v>
      </c>
      <c r="C477" s="20" t="s">
        <v>51</v>
      </c>
      <c r="D477" s="21">
        <f>SE!I48</f>
        <v>1.0625</v>
      </c>
    </row>
    <row r="478" spans="1:4" hidden="1" x14ac:dyDescent="0.25">
      <c r="A478" s="19">
        <f>SE!J$1</f>
        <v>45838</v>
      </c>
      <c r="B478" s="20" t="s">
        <v>88</v>
      </c>
      <c r="C478" s="20" t="s">
        <v>51</v>
      </c>
      <c r="D478" s="21">
        <f>SE!J48</f>
        <v>0</v>
      </c>
    </row>
    <row r="479" spans="1:4" hidden="1" x14ac:dyDescent="0.25">
      <c r="A479" s="19">
        <f>SE!K$1</f>
        <v>45869</v>
      </c>
      <c r="B479" s="20" t="s">
        <v>88</v>
      </c>
      <c r="C479" s="20" t="s">
        <v>51</v>
      </c>
      <c r="D479" s="21">
        <f>SE!K48</f>
        <v>0</v>
      </c>
    </row>
    <row r="480" spans="1:4" hidden="1" x14ac:dyDescent="0.25">
      <c r="A480" s="19">
        <f>SE!L$1</f>
        <v>45900</v>
      </c>
      <c r="B480" s="20" t="s">
        <v>88</v>
      </c>
      <c r="C480" s="20" t="s">
        <v>51</v>
      </c>
      <c r="D480" s="21">
        <f>SE!L48</f>
        <v>0</v>
      </c>
    </row>
    <row r="481" spans="1:4" hidden="1" x14ac:dyDescent="0.25">
      <c r="A481" s="19">
        <f>SE!M$1</f>
        <v>45930</v>
      </c>
      <c r="B481" s="20" t="s">
        <v>88</v>
      </c>
      <c r="C481" s="20" t="s">
        <v>51</v>
      </c>
      <c r="D481" s="21">
        <f>SE!M48</f>
        <v>0</v>
      </c>
    </row>
    <row r="482" spans="1:4" hidden="1" x14ac:dyDescent="0.25">
      <c r="A482" s="19">
        <f>SE!B$1</f>
        <v>45596</v>
      </c>
      <c r="B482" s="20" t="s">
        <v>88</v>
      </c>
      <c r="C482" s="20" t="s">
        <v>52</v>
      </c>
      <c r="D482" s="21">
        <f>SE!B49</f>
        <v>0</v>
      </c>
    </row>
    <row r="483" spans="1:4" hidden="1" x14ac:dyDescent="0.25">
      <c r="A483" s="19">
        <f>SE!C$1</f>
        <v>45626</v>
      </c>
      <c r="B483" s="20" t="s">
        <v>88</v>
      </c>
      <c r="C483" s="20" t="s">
        <v>52</v>
      </c>
      <c r="D483" s="21">
        <f>SE!C49</f>
        <v>0</v>
      </c>
    </row>
    <row r="484" spans="1:4" hidden="1" x14ac:dyDescent="0.25">
      <c r="A484" s="19">
        <f>SE!D$1</f>
        <v>45657</v>
      </c>
      <c r="B484" s="20" t="s">
        <v>88</v>
      </c>
      <c r="C484" s="20" t="s">
        <v>52</v>
      </c>
      <c r="D484" s="21">
        <f>SE!D49</f>
        <v>0</v>
      </c>
    </row>
    <row r="485" spans="1:4" hidden="1" x14ac:dyDescent="0.25">
      <c r="A485" s="19">
        <f>SE!E$1</f>
        <v>45688</v>
      </c>
      <c r="B485" s="20" t="s">
        <v>88</v>
      </c>
      <c r="C485" s="20" t="s">
        <v>52</v>
      </c>
      <c r="D485" s="21">
        <f>SE!E49</f>
        <v>0</v>
      </c>
    </row>
    <row r="486" spans="1:4" hidden="1" x14ac:dyDescent="0.25">
      <c r="A486" s="19">
        <f>SE!F$1</f>
        <v>45716</v>
      </c>
      <c r="B486" s="20" t="s">
        <v>88</v>
      </c>
      <c r="C486" s="20" t="s">
        <v>52</v>
      </c>
      <c r="D486" s="21">
        <f>SE!F49</f>
        <v>0</v>
      </c>
    </row>
    <row r="487" spans="1:4" hidden="1" x14ac:dyDescent="0.25">
      <c r="A487" s="19">
        <f>SE!G$1</f>
        <v>45747</v>
      </c>
      <c r="B487" s="20" t="s">
        <v>88</v>
      </c>
      <c r="C487" s="20" t="s">
        <v>52</v>
      </c>
      <c r="D487" s="21">
        <f>SE!G49</f>
        <v>0</v>
      </c>
    </row>
    <row r="488" spans="1:4" hidden="1" x14ac:dyDescent="0.25">
      <c r="A488" s="19">
        <f>SE!H$1</f>
        <v>45777</v>
      </c>
      <c r="B488" s="20" t="s">
        <v>88</v>
      </c>
      <c r="C488" s="20" t="s">
        <v>52</v>
      </c>
      <c r="D488" s="21">
        <f>SE!H49</f>
        <v>0</v>
      </c>
    </row>
    <row r="489" spans="1:4" hidden="1" x14ac:dyDescent="0.25">
      <c r="A489" s="19">
        <f>SE!I$1</f>
        <v>45808</v>
      </c>
      <c r="B489" s="20" t="s">
        <v>88</v>
      </c>
      <c r="C489" s="20" t="s">
        <v>52</v>
      </c>
      <c r="D489" s="21">
        <f>SE!I49</f>
        <v>0</v>
      </c>
    </row>
    <row r="490" spans="1:4" hidden="1" x14ac:dyDescent="0.25">
      <c r="A490" s="19">
        <f>SE!J$1</f>
        <v>45838</v>
      </c>
      <c r="B490" s="20" t="s">
        <v>88</v>
      </c>
      <c r="C490" s="20" t="s">
        <v>52</v>
      </c>
      <c r="D490" s="21">
        <f>SE!J49</f>
        <v>0</v>
      </c>
    </row>
    <row r="491" spans="1:4" hidden="1" x14ac:dyDescent="0.25">
      <c r="A491" s="19">
        <f>SE!K$1</f>
        <v>45869</v>
      </c>
      <c r="B491" s="20" t="s">
        <v>88</v>
      </c>
      <c r="C491" s="20" t="s">
        <v>52</v>
      </c>
      <c r="D491" s="21">
        <f>SE!K49</f>
        <v>0</v>
      </c>
    </row>
    <row r="492" spans="1:4" hidden="1" x14ac:dyDescent="0.25">
      <c r="A492" s="19">
        <f>SE!L$1</f>
        <v>45900</v>
      </c>
      <c r="B492" s="20" t="s">
        <v>88</v>
      </c>
      <c r="C492" s="20" t="s">
        <v>52</v>
      </c>
      <c r="D492" s="21">
        <f>SE!L49</f>
        <v>0</v>
      </c>
    </row>
    <row r="493" spans="1:4" hidden="1" x14ac:dyDescent="0.25">
      <c r="A493" s="19">
        <f>SE!M$1</f>
        <v>45930</v>
      </c>
      <c r="B493" s="20" t="s">
        <v>88</v>
      </c>
      <c r="C493" s="20" t="s">
        <v>52</v>
      </c>
      <c r="D493" s="21">
        <f>SE!M49</f>
        <v>0</v>
      </c>
    </row>
    <row r="494" spans="1:4" hidden="1" x14ac:dyDescent="0.25">
      <c r="A494" s="19">
        <f>SE!B$1</f>
        <v>45596</v>
      </c>
      <c r="B494" s="20" t="s">
        <v>88</v>
      </c>
      <c r="C494" s="20" t="s">
        <v>53</v>
      </c>
      <c r="D494" s="21">
        <f>SE!B50</f>
        <v>0.24851000000000001</v>
      </c>
    </row>
    <row r="495" spans="1:4" hidden="1" x14ac:dyDescent="0.25">
      <c r="A495" s="19">
        <f>SE!C$1</f>
        <v>45626</v>
      </c>
      <c r="B495" s="20" t="s">
        <v>88</v>
      </c>
      <c r="C495" s="20" t="s">
        <v>53</v>
      </c>
      <c r="D495" s="21">
        <f>SE!C50</f>
        <v>0</v>
      </c>
    </row>
    <row r="496" spans="1:4" hidden="1" x14ac:dyDescent="0.25">
      <c r="A496" s="19">
        <f>SE!D$1</f>
        <v>45657</v>
      </c>
      <c r="B496" s="20" t="s">
        <v>88</v>
      </c>
      <c r="C496" s="20" t="s">
        <v>53</v>
      </c>
      <c r="D496" s="21">
        <f>SE!D50</f>
        <v>1.8099400000000001</v>
      </c>
    </row>
    <row r="497" spans="1:4" hidden="1" x14ac:dyDescent="0.25">
      <c r="A497" s="19">
        <f>SE!E$1</f>
        <v>45688</v>
      </c>
      <c r="B497" s="20" t="s">
        <v>88</v>
      </c>
      <c r="C497" s="20" t="s">
        <v>53</v>
      </c>
      <c r="D497" s="21">
        <f>SE!E50</f>
        <v>0</v>
      </c>
    </row>
    <row r="498" spans="1:4" hidden="1" x14ac:dyDescent="0.25">
      <c r="A498" s="19">
        <f>SE!F$1</f>
        <v>45716</v>
      </c>
      <c r="B498" s="20" t="s">
        <v>88</v>
      </c>
      <c r="C498" s="20" t="s">
        <v>53</v>
      </c>
      <c r="D498" s="21">
        <f>SE!F50</f>
        <v>0</v>
      </c>
    </row>
    <row r="499" spans="1:4" hidden="1" x14ac:dyDescent="0.25">
      <c r="A499" s="19">
        <f>SE!G$1</f>
        <v>45747</v>
      </c>
      <c r="B499" s="20" t="s">
        <v>88</v>
      </c>
      <c r="C499" s="20" t="s">
        <v>53</v>
      </c>
      <c r="D499" s="21">
        <f>SE!G50</f>
        <v>6.3E-2</v>
      </c>
    </row>
    <row r="500" spans="1:4" hidden="1" x14ac:dyDescent="0.25">
      <c r="A500" s="19">
        <f>SE!H$1</f>
        <v>45777</v>
      </c>
      <c r="B500" s="20" t="s">
        <v>88</v>
      </c>
      <c r="C500" s="20" t="s">
        <v>53</v>
      </c>
      <c r="D500" s="21">
        <f>SE!H50</f>
        <v>1.1950000000000001</v>
      </c>
    </row>
    <row r="501" spans="1:4" hidden="1" x14ac:dyDescent="0.25">
      <c r="A501" s="19">
        <f>SE!I$1</f>
        <v>45808</v>
      </c>
      <c r="B501" s="20" t="s">
        <v>88</v>
      </c>
      <c r="C501" s="20" t="s">
        <v>53</v>
      </c>
      <c r="D501" s="21">
        <f>SE!I50</f>
        <v>0</v>
      </c>
    </row>
    <row r="502" spans="1:4" hidden="1" x14ac:dyDescent="0.25">
      <c r="A502" s="19">
        <f>SE!J$1</f>
        <v>45838</v>
      </c>
      <c r="B502" s="20" t="s">
        <v>88</v>
      </c>
      <c r="C502" s="20" t="s">
        <v>53</v>
      </c>
      <c r="D502" s="21">
        <f>SE!J50</f>
        <v>2.5209999999999999</v>
      </c>
    </row>
    <row r="503" spans="1:4" hidden="1" x14ac:dyDescent="0.25">
      <c r="A503" s="19">
        <f>SE!K$1</f>
        <v>45869</v>
      </c>
      <c r="B503" s="20" t="s">
        <v>88</v>
      </c>
      <c r="C503" s="20" t="s">
        <v>53</v>
      </c>
      <c r="D503" s="21">
        <f>SE!K50</f>
        <v>6.3E-2</v>
      </c>
    </row>
    <row r="504" spans="1:4" hidden="1" x14ac:dyDescent="0.25">
      <c r="A504" s="19">
        <f>SE!L$1</f>
        <v>45900</v>
      </c>
      <c r="B504" s="20" t="s">
        <v>88</v>
      </c>
      <c r="C504" s="20" t="s">
        <v>53</v>
      </c>
      <c r="D504" s="21">
        <f>SE!L50</f>
        <v>2.4940000000000002</v>
      </c>
    </row>
    <row r="505" spans="1:4" hidden="1" x14ac:dyDescent="0.25">
      <c r="A505" s="19">
        <f>SE!M$1</f>
        <v>45930</v>
      </c>
      <c r="B505" s="20" t="s">
        <v>88</v>
      </c>
      <c r="C505" s="20" t="s">
        <v>53</v>
      </c>
      <c r="D505" s="21">
        <f>SE!M50</f>
        <v>4.577</v>
      </c>
    </row>
    <row r="506" spans="1:4" hidden="1" x14ac:dyDescent="0.25">
      <c r="A506" s="19">
        <f>SE!B$1</f>
        <v>45596</v>
      </c>
      <c r="B506" s="20" t="s">
        <v>88</v>
      </c>
      <c r="C506" s="20" t="s">
        <v>56</v>
      </c>
      <c r="D506" s="21">
        <f>SE!B51</f>
        <v>1371674.5499999996</v>
      </c>
    </row>
    <row r="507" spans="1:4" hidden="1" x14ac:dyDescent="0.25">
      <c r="A507" s="19">
        <f>SE!C$1</f>
        <v>45626</v>
      </c>
      <c r="B507" s="20" t="s">
        <v>88</v>
      </c>
      <c r="C507" s="20" t="s">
        <v>56</v>
      </c>
      <c r="D507" s="21">
        <f>SE!C51</f>
        <v>1364803.34</v>
      </c>
    </row>
    <row r="508" spans="1:4" hidden="1" x14ac:dyDescent="0.25">
      <c r="A508" s="19">
        <f>SE!D$1</f>
        <v>45657</v>
      </c>
      <c r="B508" s="20" t="s">
        <v>88</v>
      </c>
      <c r="C508" s="20" t="s">
        <v>56</v>
      </c>
      <c r="D508" s="21">
        <f>SE!D51</f>
        <v>1523361.97</v>
      </c>
    </row>
    <row r="509" spans="1:4" hidden="1" x14ac:dyDescent="0.25">
      <c r="A509" s="19">
        <f>SE!E$1</f>
        <v>45688</v>
      </c>
      <c r="B509" s="20" t="s">
        <v>88</v>
      </c>
      <c r="C509" s="20" t="s">
        <v>56</v>
      </c>
      <c r="D509" s="21">
        <f>SE!E51</f>
        <v>1424978.245347895</v>
      </c>
    </row>
    <row r="510" spans="1:4" hidden="1" x14ac:dyDescent="0.25">
      <c r="A510" s="19">
        <f>SE!F$1</f>
        <v>45716</v>
      </c>
      <c r="B510" s="20" t="s">
        <v>88</v>
      </c>
      <c r="C510" s="20" t="s">
        <v>56</v>
      </c>
      <c r="D510" s="21">
        <f>SE!F51</f>
        <v>980693.20000000007</v>
      </c>
    </row>
    <row r="511" spans="1:4" hidden="1" x14ac:dyDescent="0.25">
      <c r="A511" s="19">
        <f>SE!G$1</f>
        <v>45747</v>
      </c>
      <c r="B511" s="20" t="s">
        <v>88</v>
      </c>
      <c r="C511" s="20" t="s">
        <v>56</v>
      </c>
      <c r="D511" s="21">
        <f>SE!G51</f>
        <v>1473889.9003437501</v>
      </c>
    </row>
    <row r="512" spans="1:4" hidden="1" x14ac:dyDescent="0.25">
      <c r="A512" s="19">
        <f>SE!H$1</f>
        <v>45777</v>
      </c>
      <c r="B512" s="20" t="s">
        <v>88</v>
      </c>
      <c r="C512" s="20" t="s">
        <v>56</v>
      </c>
      <c r="D512" s="21">
        <f>SE!H51</f>
        <v>1339256.3200000001</v>
      </c>
    </row>
    <row r="513" spans="1:4" hidden="1" x14ac:dyDescent="0.25">
      <c r="A513" s="19">
        <f>SE!I$1</f>
        <v>45808</v>
      </c>
      <c r="B513" s="20" t="s">
        <v>88</v>
      </c>
      <c r="C513" s="20" t="s">
        <v>56</v>
      </c>
      <c r="D513" s="21">
        <f>SE!I51</f>
        <v>1438702.5500000005</v>
      </c>
    </row>
    <row r="514" spans="1:4" hidden="1" x14ac:dyDescent="0.25">
      <c r="A514" s="19">
        <f>SE!J$1</f>
        <v>45838</v>
      </c>
      <c r="B514" s="20" t="s">
        <v>88</v>
      </c>
      <c r="C514" s="20" t="s">
        <v>56</v>
      </c>
      <c r="D514" s="21">
        <f>SE!J51</f>
        <v>1396490.93</v>
      </c>
    </row>
    <row r="515" spans="1:4" hidden="1" x14ac:dyDescent="0.25">
      <c r="A515" s="19">
        <f>SE!K$1</f>
        <v>45869</v>
      </c>
      <c r="B515" s="20" t="s">
        <v>88</v>
      </c>
      <c r="C515" s="20" t="s">
        <v>56</v>
      </c>
      <c r="D515" s="21">
        <f>SE!K51</f>
        <v>1332422.4100000008</v>
      </c>
    </row>
    <row r="516" spans="1:4" hidden="1" x14ac:dyDescent="0.25">
      <c r="A516" s="19">
        <f>SE!L$1</f>
        <v>45900</v>
      </c>
      <c r="B516" s="20" t="s">
        <v>88</v>
      </c>
      <c r="C516" s="20" t="s">
        <v>56</v>
      </c>
      <c r="D516" s="21">
        <f>SE!L51</f>
        <v>1356914.8299999998</v>
      </c>
    </row>
    <row r="517" spans="1:4" hidden="1" x14ac:dyDescent="0.25">
      <c r="A517" s="19">
        <f>SE!M$1</f>
        <v>45930</v>
      </c>
      <c r="B517" s="20" t="s">
        <v>88</v>
      </c>
      <c r="C517" s="20" t="s">
        <v>56</v>
      </c>
      <c r="D517" s="21">
        <f>SE!M51</f>
        <v>1228031.6399999999</v>
      </c>
    </row>
    <row r="518" spans="1:4" hidden="1" x14ac:dyDescent="0.25">
      <c r="A518" s="19">
        <f>SE!B$1</f>
        <v>45596</v>
      </c>
      <c r="B518" s="20" t="s">
        <v>89</v>
      </c>
      <c r="C518" s="20" t="s">
        <v>59</v>
      </c>
      <c r="D518" s="21">
        <f>SE!B53</f>
        <v>56.13897</v>
      </c>
    </row>
    <row r="519" spans="1:4" hidden="1" x14ac:dyDescent="0.25">
      <c r="A519" s="19">
        <f>SE!C$1</f>
        <v>45626</v>
      </c>
      <c r="B519" s="20" t="s">
        <v>89</v>
      </c>
      <c r="C519" s="20" t="s">
        <v>59</v>
      </c>
      <c r="D519" s="21">
        <f>SE!C53</f>
        <v>47.485210000000002</v>
      </c>
    </row>
    <row r="520" spans="1:4" hidden="1" x14ac:dyDescent="0.25">
      <c r="A520" s="19">
        <f>SE!D$1</f>
        <v>45657</v>
      </c>
      <c r="B520" s="20" t="s">
        <v>89</v>
      </c>
      <c r="C520" s="20" t="s">
        <v>59</v>
      </c>
      <c r="D520" s="21">
        <f>SE!D53</f>
        <v>50.412950000000002</v>
      </c>
    </row>
    <row r="521" spans="1:4" hidden="1" x14ac:dyDescent="0.25">
      <c r="A521" s="19">
        <f>SE!E$1</f>
        <v>45688</v>
      </c>
      <c r="B521" s="20" t="s">
        <v>89</v>
      </c>
      <c r="C521" s="20" t="s">
        <v>59</v>
      </c>
      <c r="D521" s="21">
        <f>SE!E53</f>
        <v>44.44943</v>
      </c>
    </row>
    <row r="522" spans="1:4" hidden="1" x14ac:dyDescent="0.25">
      <c r="A522" s="19">
        <f>SE!F$1</f>
        <v>45716</v>
      </c>
      <c r="B522" s="20" t="s">
        <v>89</v>
      </c>
      <c r="C522" s="20" t="s">
        <v>59</v>
      </c>
      <c r="D522" s="21">
        <f>SE!F53</f>
        <v>40.461410000000001</v>
      </c>
    </row>
    <row r="523" spans="1:4" hidden="1" x14ac:dyDescent="0.25">
      <c r="A523" s="19">
        <f>SE!G$1</f>
        <v>45747</v>
      </c>
      <c r="B523" s="20" t="s">
        <v>89</v>
      </c>
      <c r="C523" s="20" t="s">
        <v>59</v>
      </c>
      <c r="D523" s="21">
        <f>SE!G53</f>
        <v>45.767949999999999</v>
      </c>
    </row>
    <row r="524" spans="1:4" hidden="1" x14ac:dyDescent="0.25">
      <c r="A524" s="19">
        <f>SE!H$1</f>
        <v>45777</v>
      </c>
      <c r="B524" s="20" t="s">
        <v>89</v>
      </c>
      <c r="C524" s="20" t="s">
        <v>59</v>
      </c>
      <c r="D524" s="21">
        <f>SE!H53</f>
        <v>48.080249999999999</v>
      </c>
    </row>
    <row r="525" spans="1:4" hidden="1" x14ac:dyDescent="0.25">
      <c r="A525" s="19">
        <f>SE!I$1</f>
        <v>45808</v>
      </c>
      <c r="B525" s="20" t="s">
        <v>89</v>
      </c>
      <c r="C525" s="20" t="s">
        <v>59</v>
      </c>
      <c r="D525" s="21">
        <f>SE!I53</f>
        <v>52.016249999999999</v>
      </c>
    </row>
    <row r="526" spans="1:4" hidden="1" x14ac:dyDescent="0.25">
      <c r="A526" s="19">
        <f>SE!J$1</f>
        <v>45838</v>
      </c>
      <c r="B526" s="20" t="s">
        <v>89</v>
      </c>
      <c r="C526" s="20" t="s">
        <v>59</v>
      </c>
      <c r="D526" s="21">
        <f>SE!J53</f>
        <v>60.898180000000004</v>
      </c>
    </row>
    <row r="527" spans="1:4" hidden="1" x14ac:dyDescent="0.25">
      <c r="A527" s="19">
        <f>SE!K$1</f>
        <v>45869</v>
      </c>
      <c r="B527" s="20" t="s">
        <v>89</v>
      </c>
      <c r="C527" s="20" t="s">
        <v>59</v>
      </c>
      <c r="D527" s="21">
        <f>SE!K53</f>
        <v>55.347859999999997</v>
      </c>
    </row>
    <row r="528" spans="1:4" hidden="1" x14ac:dyDescent="0.25">
      <c r="A528" s="19">
        <f>SE!L$1</f>
        <v>45900</v>
      </c>
      <c r="B528" s="20" t="s">
        <v>89</v>
      </c>
      <c r="C528" s="20" t="s">
        <v>59</v>
      </c>
      <c r="D528" s="21">
        <f>SE!L53</f>
        <v>44.307510000000001</v>
      </c>
    </row>
    <row r="529" spans="1:4" hidden="1" x14ac:dyDescent="0.25">
      <c r="A529" s="19">
        <f>SE!M$1</f>
        <v>45930</v>
      </c>
      <c r="B529" s="20" t="s">
        <v>89</v>
      </c>
      <c r="C529" s="20" t="s">
        <v>59</v>
      </c>
      <c r="D529" s="21">
        <f>SE!M53</f>
        <v>43.882480000000001</v>
      </c>
    </row>
    <row r="530" spans="1:4" hidden="1" x14ac:dyDescent="0.25">
      <c r="A530" s="19">
        <f>SE!B$1</f>
        <v>45596</v>
      </c>
      <c r="B530" s="20" t="s">
        <v>89</v>
      </c>
      <c r="C530" s="20" t="s">
        <v>61</v>
      </c>
      <c r="D530" s="21">
        <f>SE!B54</f>
        <v>0</v>
      </c>
    </row>
    <row r="531" spans="1:4" hidden="1" x14ac:dyDescent="0.25">
      <c r="A531" s="19">
        <f>SE!C$1</f>
        <v>45626</v>
      </c>
      <c r="B531" s="20" t="s">
        <v>89</v>
      </c>
      <c r="C531" s="20" t="s">
        <v>61</v>
      </c>
      <c r="D531" s="21">
        <f>SE!C54</f>
        <v>0</v>
      </c>
    </row>
    <row r="532" spans="1:4" hidden="1" x14ac:dyDescent="0.25">
      <c r="A532" s="19">
        <f>SE!D$1</f>
        <v>45657</v>
      </c>
      <c r="B532" s="20" t="s">
        <v>89</v>
      </c>
      <c r="C532" s="20" t="s">
        <v>61</v>
      </c>
      <c r="D532" s="21">
        <f>SE!D54</f>
        <v>0</v>
      </c>
    </row>
    <row r="533" spans="1:4" hidden="1" x14ac:dyDescent="0.25">
      <c r="A533" s="19">
        <f>SE!E$1</f>
        <v>45688</v>
      </c>
      <c r="B533" s="20" t="s">
        <v>89</v>
      </c>
      <c r="C533" s="20" t="s">
        <v>61</v>
      </c>
      <c r="D533" s="21">
        <f>SE!E54</f>
        <v>0</v>
      </c>
    </row>
    <row r="534" spans="1:4" hidden="1" x14ac:dyDescent="0.25">
      <c r="A534" s="19">
        <f>SE!F$1</f>
        <v>45716</v>
      </c>
      <c r="B534" s="20" t="s">
        <v>89</v>
      </c>
      <c r="C534" s="20" t="s">
        <v>61</v>
      </c>
      <c r="D534" s="21">
        <f>SE!F54</f>
        <v>0</v>
      </c>
    </row>
    <row r="535" spans="1:4" hidden="1" x14ac:dyDescent="0.25">
      <c r="A535" s="19">
        <f>SE!G$1</f>
        <v>45747</v>
      </c>
      <c r="B535" s="20" t="s">
        <v>89</v>
      </c>
      <c r="C535" s="20" t="s">
        <v>61</v>
      </c>
      <c r="D535" s="21">
        <f>SE!G54</f>
        <v>0</v>
      </c>
    </row>
    <row r="536" spans="1:4" hidden="1" x14ac:dyDescent="0.25">
      <c r="A536" s="19">
        <f>SE!H$1</f>
        <v>45777</v>
      </c>
      <c r="B536" s="20" t="s">
        <v>89</v>
      </c>
      <c r="C536" s="20" t="s">
        <v>61</v>
      </c>
      <c r="D536" s="21">
        <f>SE!H54</f>
        <v>0</v>
      </c>
    </row>
    <row r="537" spans="1:4" hidden="1" x14ac:dyDescent="0.25">
      <c r="A537" s="19">
        <f>SE!I$1</f>
        <v>45808</v>
      </c>
      <c r="B537" s="20" t="s">
        <v>89</v>
      </c>
      <c r="C537" s="20" t="s">
        <v>61</v>
      </c>
      <c r="D537" s="21">
        <f>SE!I54</f>
        <v>0</v>
      </c>
    </row>
    <row r="538" spans="1:4" hidden="1" x14ac:dyDescent="0.25">
      <c r="A538" s="19">
        <f>SE!J$1</f>
        <v>45838</v>
      </c>
      <c r="B538" s="20" t="s">
        <v>89</v>
      </c>
      <c r="C538" s="20" t="s">
        <v>61</v>
      </c>
      <c r="D538" s="21">
        <f>SE!J54</f>
        <v>0</v>
      </c>
    </row>
    <row r="539" spans="1:4" hidden="1" x14ac:dyDescent="0.25">
      <c r="A539" s="19">
        <f>SE!K$1</f>
        <v>45869</v>
      </c>
      <c r="B539" s="20" t="s">
        <v>89</v>
      </c>
      <c r="C539" s="20" t="s">
        <v>61</v>
      </c>
      <c r="D539" s="21">
        <f>SE!K54</f>
        <v>0</v>
      </c>
    </row>
    <row r="540" spans="1:4" hidden="1" x14ac:dyDescent="0.25">
      <c r="A540" s="19">
        <f>SE!L$1</f>
        <v>45900</v>
      </c>
      <c r="B540" s="20" t="s">
        <v>89</v>
      </c>
      <c r="C540" s="20" t="s">
        <v>61</v>
      </c>
      <c r="D540" s="21">
        <f>SE!L54</f>
        <v>0</v>
      </c>
    </row>
    <row r="541" spans="1:4" hidden="1" x14ac:dyDescent="0.25">
      <c r="A541" s="19">
        <f>SE!M$1</f>
        <v>45930</v>
      </c>
      <c r="B541" s="20" t="s">
        <v>89</v>
      </c>
      <c r="C541" s="20" t="s">
        <v>61</v>
      </c>
      <c r="D541" s="21">
        <f>SE!M54</f>
        <v>0</v>
      </c>
    </row>
    <row r="542" spans="1:4" hidden="1" x14ac:dyDescent="0.25">
      <c r="A542" s="19">
        <f>SE!B$1</f>
        <v>45596</v>
      </c>
      <c r="B542" s="20" t="s">
        <v>89</v>
      </c>
      <c r="C542" s="20" t="s">
        <v>63</v>
      </c>
      <c r="D542" s="21">
        <f>SE!B55</f>
        <v>246.85923</v>
      </c>
    </row>
    <row r="543" spans="1:4" hidden="1" x14ac:dyDescent="0.25">
      <c r="A543" s="19">
        <f>SE!C$1</f>
        <v>45626</v>
      </c>
      <c r="B543" s="20" t="s">
        <v>89</v>
      </c>
      <c r="C543" s="20" t="s">
        <v>63</v>
      </c>
      <c r="D543" s="21">
        <f>SE!C55</f>
        <v>235.65905000000001</v>
      </c>
    </row>
    <row r="544" spans="1:4" hidden="1" x14ac:dyDescent="0.25">
      <c r="A544" s="19">
        <f>SE!D$1</f>
        <v>45657</v>
      </c>
      <c r="B544" s="20" t="s">
        <v>89</v>
      </c>
      <c r="C544" s="20" t="s">
        <v>63</v>
      </c>
      <c r="D544" s="21">
        <f>SE!D55</f>
        <v>234.10908000000001</v>
      </c>
    </row>
    <row r="545" spans="1:4" hidden="1" x14ac:dyDescent="0.25">
      <c r="A545" s="19">
        <f>SE!E$1</f>
        <v>45688</v>
      </c>
      <c r="B545" s="20" t="s">
        <v>89</v>
      </c>
      <c r="C545" s="20" t="s">
        <v>63</v>
      </c>
      <c r="D545" s="21">
        <f>SE!E55</f>
        <v>217.71283</v>
      </c>
    </row>
    <row r="546" spans="1:4" hidden="1" x14ac:dyDescent="0.25">
      <c r="A546" s="19">
        <f>SE!F$1</f>
        <v>45716</v>
      </c>
      <c r="B546" s="20" t="s">
        <v>89</v>
      </c>
      <c r="C546" s="20" t="s">
        <v>63</v>
      </c>
      <c r="D546" s="21">
        <f>SE!F55</f>
        <v>198.40691000000001</v>
      </c>
    </row>
    <row r="547" spans="1:4" hidden="1" x14ac:dyDescent="0.25">
      <c r="A547" s="19">
        <f>SE!G$1</f>
        <v>45747</v>
      </c>
      <c r="B547" s="20" t="s">
        <v>89</v>
      </c>
      <c r="C547" s="20" t="s">
        <v>63</v>
      </c>
      <c r="D547" s="21">
        <f>SE!G55</f>
        <v>238.23746</v>
      </c>
    </row>
    <row r="548" spans="1:4" hidden="1" x14ac:dyDescent="0.25">
      <c r="A548" s="19">
        <f>SE!H$1</f>
        <v>45777</v>
      </c>
      <c r="B548" s="20" t="s">
        <v>89</v>
      </c>
      <c r="C548" s="20" t="s">
        <v>63</v>
      </c>
      <c r="D548" s="21">
        <f>SE!H55</f>
        <v>232.30045000000001</v>
      </c>
    </row>
    <row r="549" spans="1:4" hidden="1" x14ac:dyDescent="0.25">
      <c r="A549" s="19">
        <f>SE!I$1</f>
        <v>45808</v>
      </c>
      <c r="B549" s="20" t="s">
        <v>89</v>
      </c>
      <c r="C549" s="20" t="s">
        <v>63</v>
      </c>
      <c r="D549" s="21">
        <f>SE!I55</f>
        <v>235.14646999999999</v>
      </c>
    </row>
    <row r="550" spans="1:4" hidden="1" x14ac:dyDescent="0.25">
      <c r="A550" s="19">
        <f>SE!J$1</f>
        <v>45838</v>
      </c>
      <c r="B550" s="20" t="s">
        <v>89</v>
      </c>
      <c r="C550" s="20" t="s">
        <v>63</v>
      </c>
      <c r="D550" s="21">
        <f>SE!J55</f>
        <v>238.04949999999999</v>
      </c>
    </row>
    <row r="551" spans="1:4" hidden="1" x14ac:dyDescent="0.25">
      <c r="A551" s="19">
        <f>SE!K$1</f>
        <v>45869</v>
      </c>
      <c r="B551" s="20" t="s">
        <v>89</v>
      </c>
      <c r="C551" s="20" t="s">
        <v>63</v>
      </c>
      <c r="D551" s="21">
        <f>SE!K55</f>
        <v>117.59466999999999</v>
      </c>
    </row>
    <row r="552" spans="1:4" hidden="1" x14ac:dyDescent="0.25">
      <c r="A552" s="19">
        <f>SE!L$1</f>
        <v>45900</v>
      </c>
      <c r="B552" s="20" t="s">
        <v>89</v>
      </c>
      <c r="C552" s="20" t="s">
        <v>63</v>
      </c>
      <c r="D552" s="21">
        <f>SE!L55</f>
        <v>261.73174</v>
      </c>
    </row>
    <row r="553" spans="1:4" hidden="1" x14ac:dyDescent="0.25">
      <c r="A553" s="19">
        <f>SE!M$1</f>
        <v>45930</v>
      </c>
      <c r="B553" s="20" t="s">
        <v>89</v>
      </c>
      <c r="C553" s="20" t="s">
        <v>63</v>
      </c>
      <c r="D553" s="21">
        <f>SE!M55</f>
        <v>243.09485000000001</v>
      </c>
    </row>
    <row r="554" spans="1:4" hidden="1" x14ac:dyDescent="0.25">
      <c r="A554" s="19">
        <f>SE!B$1</f>
        <v>45596</v>
      </c>
      <c r="B554" s="20" t="s">
        <v>89</v>
      </c>
      <c r="C554" s="20" t="s">
        <v>64</v>
      </c>
      <c r="D554" s="21">
        <f>SE!B56</f>
        <v>0</v>
      </c>
    </row>
    <row r="555" spans="1:4" hidden="1" x14ac:dyDescent="0.25">
      <c r="A555" s="19">
        <f>SE!C$1</f>
        <v>45626</v>
      </c>
      <c r="B555" s="20" t="s">
        <v>89</v>
      </c>
      <c r="C555" s="20" t="s">
        <v>64</v>
      </c>
      <c r="D555" s="21">
        <f>SE!C56</f>
        <v>0</v>
      </c>
    </row>
    <row r="556" spans="1:4" hidden="1" x14ac:dyDescent="0.25">
      <c r="A556" s="19">
        <f>SE!D$1</f>
        <v>45657</v>
      </c>
      <c r="B556" s="20" t="s">
        <v>89</v>
      </c>
      <c r="C556" s="20" t="s">
        <v>64</v>
      </c>
      <c r="D556" s="21">
        <f>SE!D56</f>
        <v>0</v>
      </c>
    </row>
    <row r="557" spans="1:4" hidden="1" x14ac:dyDescent="0.25">
      <c r="A557" s="19">
        <f>SE!E$1</f>
        <v>45688</v>
      </c>
      <c r="B557" s="20" t="s">
        <v>89</v>
      </c>
      <c r="C557" s="20" t="s">
        <v>64</v>
      </c>
      <c r="D557" s="21">
        <f>SE!E56</f>
        <v>0</v>
      </c>
    </row>
    <row r="558" spans="1:4" hidden="1" x14ac:dyDescent="0.25">
      <c r="A558" s="19">
        <f>SE!F$1</f>
        <v>45716</v>
      </c>
      <c r="B558" s="20" t="s">
        <v>89</v>
      </c>
      <c r="C558" s="20" t="s">
        <v>64</v>
      </c>
      <c r="D558" s="21">
        <f>SE!F56</f>
        <v>0</v>
      </c>
    </row>
    <row r="559" spans="1:4" hidden="1" x14ac:dyDescent="0.25">
      <c r="A559" s="19">
        <f>SE!G$1</f>
        <v>45747</v>
      </c>
      <c r="B559" s="20" t="s">
        <v>89</v>
      </c>
      <c r="C559" s="20" t="s">
        <v>64</v>
      </c>
      <c r="D559" s="21">
        <f>SE!G56</f>
        <v>0</v>
      </c>
    </row>
    <row r="560" spans="1:4" hidden="1" x14ac:dyDescent="0.25">
      <c r="A560" s="19">
        <f>SE!H$1</f>
        <v>45777</v>
      </c>
      <c r="B560" s="20" t="s">
        <v>89</v>
      </c>
      <c r="C560" s="20" t="s">
        <v>64</v>
      </c>
      <c r="D560" s="21">
        <f>SE!H56</f>
        <v>0</v>
      </c>
    </row>
    <row r="561" spans="1:4" hidden="1" x14ac:dyDescent="0.25">
      <c r="A561" s="19">
        <f>SE!I$1</f>
        <v>45808</v>
      </c>
      <c r="B561" s="20" t="s">
        <v>89</v>
      </c>
      <c r="C561" s="20" t="s">
        <v>64</v>
      </c>
      <c r="D561" s="21">
        <f>SE!I56</f>
        <v>0</v>
      </c>
    </row>
    <row r="562" spans="1:4" hidden="1" x14ac:dyDescent="0.25">
      <c r="A562" s="19">
        <f>SE!J$1</f>
        <v>45838</v>
      </c>
      <c r="B562" s="20" t="s">
        <v>89</v>
      </c>
      <c r="C562" s="20" t="s">
        <v>64</v>
      </c>
      <c r="D562" s="21">
        <f>SE!J56</f>
        <v>0</v>
      </c>
    </row>
    <row r="563" spans="1:4" hidden="1" x14ac:dyDescent="0.25">
      <c r="A563" s="19">
        <f>SE!K$1</f>
        <v>45869</v>
      </c>
      <c r="B563" s="20" t="s">
        <v>89</v>
      </c>
      <c r="C563" s="20" t="s">
        <v>64</v>
      </c>
      <c r="D563" s="21">
        <f>SE!K56</f>
        <v>0</v>
      </c>
    </row>
    <row r="564" spans="1:4" hidden="1" x14ac:dyDescent="0.25">
      <c r="A564" s="19">
        <f>SE!L$1</f>
        <v>45900</v>
      </c>
      <c r="B564" s="20" t="s">
        <v>89</v>
      </c>
      <c r="C564" s="20" t="s">
        <v>64</v>
      </c>
      <c r="D564" s="21">
        <f>SE!L56</f>
        <v>0</v>
      </c>
    </row>
    <row r="565" spans="1:4" hidden="1" x14ac:dyDescent="0.25">
      <c r="A565" s="19">
        <f>SE!M$1</f>
        <v>45930</v>
      </c>
      <c r="B565" s="20" t="s">
        <v>89</v>
      </c>
      <c r="C565" s="20" t="s">
        <v>64</v>
      </c>
      <c r="D565" s="21">
        <f>SE!M56</f>
        <v>0</v>
      </c>
    </row>
    <row r="566" spans="1:4" hidden="1" x14ac:dyDescent="0.25">
      <c r="A566" s="19">
        <f>SE!B$1</f>
        <v>45596</v>
      </c>
      <c r="B566" s="20" t="s">
        <v>89</v>
      </c>
      <c r="C566" s="20" t="s">
        <v>65</v>
      </c>
      <c r="D566" s="21">
        <f>SE!B57</f>
        <v>302.9982</v>
      </c>
    </row>
    <row r="567" spans="1:4" hidden="1" x14ac:dyDescent="0.25">
      <c r="A567" s="19">
        <f>SE!C$1</f>
        <v>45626</v>
      </c>
      <c r="B567" s="20" t="s">
        <v>89</v>
      </c>
      <c r="C567" s="20" t="s">
        <v>65</v>
      </c>
      <c r="D567" s="21">
        <f>SE!C57</f>
        <v>283.14425999999997</v>
      </c>
    </row>
    <row r="568" spans="1:4" hidden="1" x14ac:dyDescent="0.25">
      <c r="A568" s="19">
        <f>SE!D$1</f>
        <v>45657</v>
      </c>
      <c r="B568" s="20" t="s">
        <v>89</v>
      </c>
      <c r="C568" s="20" t="s">
        <v>65</v>
      </c>
      <c r="D568" s="21">
        <f>SE!D57</f>
        <v>284.52202999999997</v>
      </c>
    </row>
    <row r="569" spans="1:4" hidden="1" x14ac:dyDescent="0.25">
      <c r="A569" s="19">
        <f>SE!E$1</f>
        <v>45688</v>
      </c>
      <c r="B569" s="20" t="s">
        <v>89</v>
      </c>
      <c r="C569" s="20" t="s">
        <v>65</v>
      </c>
      <c r="D569" s="21">
        <f>SE!E57</f>
        <v>262.16226</v>
      </c>
    </row>
    <row r="570" spans="1:4" hidden="1" x14ac:dyDescent="0.25">
      <c r="A570" s="19">
        <f>SE!F$1</f>
        <v>45716</v>
      </c>
      <c r="B570" s="20" t="s">
        <v>89</v>
      </c>
      <c r="C570" s="20" t="s">
        <v>65</v>
      </c>
      <c r="D570" s="21">
        <f>SE!F57</f>
        <v>238.86832000000001</v>
      </c>
    </row>
    <row r="571" spans="1:4" hidden="1" x14ac:dyDescent="0.25">
      <c r="A571" s="19">
        <f>SE!G$1</f>
        <v>45747</v>
      </c>
      <c r="B571" s="20" t="s">
        <v>89</v>
      </c>
      <c r="C571" s="20" t="s">
        <v>65</v>
      </c>
      <c r="D571" s="21">
        <f>SE!G57</f>
        <v>284.00540999999998</v>
      </c>
    </row>
    <row r="572" spans="1:4" hidden="1" x14ac:dyDescent="0.25">
      <c r="A572" s="19">
        <f>SE!H$1</f>
        <v>45777</v>
      </c>
      <c r="B572" s="20" t="s">
        <v>89</v>
      </c>
      <c r="C572" s="20" t="s">
        <v>65</v>
      </c>
      <c r="D572" s="21">
        <f>SE!H57</f>
        <v>280.38069999999999</v>
      </c>
    </row>
    <row r="573" spans="1:4" hidden="1" x14ac:dyDescent="0.25">
      <c r="A573" s="19">
        <f>SE!I$1</f>
        <v>45808</v>
      </c>
      <c r="B573" s="20" t="s">
        <v>89</v>
      </c>
      <c r="C573" s="20" t="s">
        <v>65</v>
      </c>
      <c r="D573" s="21">
        <f>SE!I57</f>
        <v>287.16271999999998</v>
      </c>
    </row>
    <row r="574" spans="1:4" hidden="1" x14ac:dyDescent="0.25">
      <c r="A574" s="19">
        <f>SE!J$1</f>
        <v>45838</v>
      </c>
      <c r="B574" s="20" t="s">
        <v>89</v>
      </c>
      <c r="C574" s="20" t="s">
        <v>65</v>
      </c>
      <c r="D574" s="21">
        <f>SE!J57</f>
        <v>298.94767999999999</v>
      </c>
    </row>
    <row r="575" spans="1:4" hidden="1" x14ac:dyDescent="0.25">
      <c r="A575" s="19">
        <f>SE!K$1</f>
        <v>45869</v>
      </c>
      <c r="B575" s="20" t="s">
        <v>89</v>
      </c>
      <c r="C575" s="20" t="s">
        <v>65</v>
      </c>
      <c r="D575" s="21">
        <f>SE!K57</f>
        <v>172.94253</v>
      </c>
    </row>
    <row r="576" spans="1:4" hidden="1" x14ac:dyDescent="0.25">
      <c r="A576" s="19">
        <f>SE!L$1</f>
        <v>45900</v>
      </c>
      <c r="B576" s="20" t="s">
        <v>89</v>
      </c>
      <c r="C576" s="20" t="s">
        <v>65</v>
      </c>
      <c r="D576" s="21">
        <f>SE!L57</f>
        <v>306.03924999999998</v>
      </c>
    </row>
    <row r="577" spans="1:4" hidden="1" x14ac:dyDescent="0.25">
      <c r="A577" s="19">
        <f>SE!M$1</f>
        <v>45930</v>
      </c>
      <c r="B577" s="20" t="s">
        <v>89</v>
      </c>
      <c r="C577" s="20" t="s">
        <v>65</v>
      </c>
      <c r="D577" s="21">
        <f>SE!M57</f>
        <v>286.97732999999999</v>
      </c>
    </row>
    <row r="578" spans="1:4" hidden="1" x14ac:dyDescent="0.25">
      <c r="A578" s="19">
        <f>SE!B$1</f>
        <v>45596</v>
      </c>
      <c r="B578" s="20" t="s">
        <v>90</v>
      </c>
      <c r="C578" s="20" t="s">
        <v>66</v>
      </c>
      <c r="D578" s="21">
        <f>SE!B59</f>
        <v>489.27512999999999</v>
      </c>
    </row>
    <row r="579" spans="1:4" hidden="1" x14ac:dyDescent="0.25">
      <c r="A579" s="19">
        <f>SE!C$1</f>
        <v>45626</v>
      </c>
      <c r="B579" s="20" t="s">
        <v>90</v>
      </c>
      <c r="C579" s="20" t="s">
        <v>66</v>
      </c>
      <c r="D579" s="21">
        <f>SE!C59</f>
        <v>475.1635</v>
      </c>
    </row>
    <row r="580" spans="1:4" hidden="1" x14ac:dyDescent="0.25">
      <c r="A580" s="19">
        <f>SE!D$1</f>
        <v>45657</v>
      </c>
      <c r="B580" s="20" t="s">
        <v>90</v>
      </c>
      <c r="C580" s="20" t="s">
        <v>66</v>
      </c>
      <c r="D580" s="21">
        <f>SE!D59</f>
        <v>516.43254999999999</v>
      </c>
    </row>
    <row r="581" spans="1:4" hidden="1" x14ac:dyDescent="0.25">
      <c r="A581" s="19">
        <f>SE!E$1</f>
        <v>45688</v>
      </c>
      <c r="B581" s="20" t="s">
        <v>90</v>
      </c>
      <c r="C581" s="20" t="s">
        <v>66</v>
      </c>
      <c r="D581" s="21">
        <f>SE!E59</f>
        <v>518.68991000000005</v>
      </c>
    </row>
    <row r="582" spans="1:4" hidden="1" x14ac:dyDescent="0.25">
      <c r="A582" s="19">
        <f>SE!F$1</f>
        <v>45716</v>
      </c>
      <c r="B582" s="20" t="s">
        <v>90</v>
      </c>
      <c r="C582" s="20" t="s">
        <v>66</v>
      </c>
      <c r="D582" s="21">
        <f>SE!F59</f>
        <v>429.11415</v>
      </c>
    </row>
    <row r="583" spans="1:4" hidden="1" x14ac:dyDescent="0.25">
      <c r="A583" s="19">
        <f>SE!G$1</f>
        <v>45747</v>
      </c>
      <c r="B583" s="20" t="s">
        <v>90</v>
      </c>
      <c r="C583" s="20" t="s">
        <v>66</v>
      </c>
      <c r="D583" s="21">
        <f>SE!G59</f>
        <v>474.98070999999999</v>
      </c>
    </row>
    <row r="584" spans="1:4" hidden="1" x14ac:dyDescent="0.25">
      <c r="A584" s="19">
        <f>SE!H$1</f>
        <v>45777</v>
      </c>
      <c r="B584" s="20" t="s">
        <v>90</v>
      </c>
      <c r="C584" s="20" t="s">
        <v>66</v>
      </c>
      <c r="D584" s="21">
        <f>SE!H59</f>
        <v>444.20954999999998</v>
      </c>
    </row>
    <row r="585" spans="1:4" hidden="1" x14ac:dyDescent="0.25">
      <c r="A585" s="19">
        <f>SE!I$1</f>
        <v>45808</v>
      </c>
      <c r="B585" s="20" t="s">
        <v>90</v>
      </c>
      <c r="C585" s="20" t="s">
        <v>66</v>
      </c>
      <c r="D585" s="21">
        <f>SE!I59</f>
        <v>464.42827</v>
      </c>
    </row>
    <row r="586" spans="1:4" hidden="1" x14ac:dyDescent="0.25">
      <c r="A586" s="19">
        <f>SE!J$1</f>
        <v>45838</v>
      </c>
      <c r="B586" s="20" t="s">
        <v>90</v>
      </c>
      <c r="C586" s="20" t="s">
        <v>66</v>
      </c>
      <c r="D586" s="21">
        <f>SE!J59</f>
        <v>521.81204000000002</v>
      </c>
    </row>
    <row r="587" spans="1:4" hidden="1" x14ac:dyDescent="0.25">
      <c r="A587" s="19">
        <f>SE!K$1</f>
        <v>45869</v>
      </c>
      <c r="B587" s="20" t="s">
        <v>90</v>
      </c>
      <c r="C587" s="20" t="s">
        <v>66</v>
      </c>
      <c r="D587" s="21">
        <f>SE!K59</f>
        <v>473.40564000000001</v>
      </c>
    </row>
    <row r="588" spans="1:4" hidden="1" x14ac:dyDescent="0.25">
      <c r="A588" s="19">
        <f>SE!L$1</f>
        <v>45900</v>
      </c>
      <c r="B588" s="20" t="s">
        <v>90</v>
      </c>
      <c r="C588" s="20" t="s">
        <v>66</v>
      </c>
      <c r="D588" s="21">
        <f>SE!L59</f>
        <v>449.37630000000001</v>
      </c>
    </row>
    <row r="589" spans="1:4" hidden="1" x14ac:dyDescent="0.25">
      <c r="A589" s="19">
        <f>SE!M$1</f>
        <v>45930</v>
      </c>
      <c r="B589" s="20" t="s">
        <v>90</v>
      </c>
      <c r="C589" s="20" t="s">
        <v>66</v>
      </c>
      <c r="D589" s="21">
        <f>SE!M59</f>
        <v>463.13720000000001</v>
      </c>
    </row>
    <row r="590" spans="1:4" hidden="1" x14ac:dyDescent="0.25">
      <c r="A590" s="19">
        <f>SE!B$1</f>
        <v>45596</v>
      </c>
      <c r="B590" s="20" t="s">
        <v>90</v>
      </c>
      <c r="C590" s="20" t="s">
        <v>67</v>
      </c>
      <c r="D590" s="21">
        <f>SE!B60</f>
        <v>0</v>
      </c>
    </row>
    <row r="591" spans="1:4" hidden="1" x14ac:dyDescent="0.25">
      <c r="A591" s="19">
        <f>SE!C$1</f>
        <v>45626</v>
      </c>
      <c r="B591" s="20" t="s">
        <v>90</v>
      </c>
      <c r="C591" s="20" t="s">
        <v>67</v>
      </c>
      <c r="D591" s="21">
        <f>SE!C60</f>
        <v>0</v>
      </c>
    </row>
    <row r="592" spans="1:4" hidden="1" x14ac:dyDescent="0.25">
      <c r="A592" s="19">
        <f>SE!D$1</f>
        <v>45657</v>
      </c>
      <c r="B592" s="20" t="s">
        <v>90</v>
      </c>
      <c r="C592" s="20" t="s">
        <v>67</v>
      </c>
      <c r="D592" s="21">
        <f>SE!D60</f>
        <v>0</v>
      </c>
    </row>
    <row r="593" spans="1:4" hidden="1" x14ac:dyDescent="0.25">
      <c r="A593" s="19">
        <f>SE!E$1</f>
        <v>45688</v>
      </c>
      <c r="B593" s="20" t="s">
        <v>90</v>
      </c>
      <c r="C593" s="20" t="s">
        <v>67</v>
      </c>
      <c r="D593" s="21">
        <f>SE!E60</f>
        <v>0</v>
      </c>
    </row>
    <row r="594" spans="1:4" hidden="1" x14ac:dyDescent="0.25">
      <c r="A594" s="19">
        <f>SE!F$1</f>
        <v>45716</v>
      </c>
      <c r="B594" s="20" t="s">
        <v>90</v>
      </c>
      <c r="C594" s="20" t="s">
        <v>67</v>
      </c>
      <c r="D594" s="21">
        <f>SE!F60</f>
        <v>0</v>
      </c>
    </row>
    <row r="595" spans="1:4" hidden="1" x14ac:dyDescent="0.25">
      <c r="A595" s="19">
        <f>SE!G$1</f>
        <v>45747</v>
      </c>
      <c r="B595" s="20" t="s">
        <v>90</v>
      </c>
      <c r="C595" s="20" t="s">
        <v>67</v>
      </c>
      <c r="D595" s="21">
        <f>SE!G60</f>
        <v>0</v>
      </c>
    </row>
    <row r="596" spans="1:4" hidden="1" x14ac:dyDescent="0.25">
      <c r="A596" s="19">
        <f>SE!H$1</f>
        <v>45777</v>
      </c>
      <c r="B596" s="20" t="s">
        <v>90</v>
      </c>
      <c r="C596" s="20" t="s">
        <v>67</v>
      </c>
      <c r="D596" s="21">
        <f>SE!H60</f>
        <v>0</v>
      </c>
    </row>
    <row r="597" spans="1:4" hidden="1" x14ac:dyDescent="0.25">
      <c r="A597" s="19">
        <f>SE!I$1</f>
        <v>45808</v>
      </c>
      <c r="B597" s="20" t="s">
        <v>90</v>
      </c>
      <c r="C597" s="20" t="s">
        <v>67</v>
      </c>
      <c r="D597" s="21">
        <f>SE!I60</f>
        <v>0</v>
      </c>
    </row>
    <row r="598" spans="1:4" hidden="1" x14ac:dyDescent="0.25">
      <c r="A598" s="19">
        <f>SE!J$1</f>
        <v>45838</v>
      </c>
      <c r="B598" s="20" t="s">
        <v>90</v>
      </c>
      <c r="C598" s="20" t="s">
        <v>67</v>
      </c>
      <c r="D598" s="21">
        <f>SE!J60</f>
        <v>0</v>
      </c>
    </row>
    <row r="599" spans="1:4" hidden="1" x14ac:dyDescent="0.25">
      <c r="A599" s="19">
        <f>SE!K$1</f>
        <v>45869</v>
      </c>
      <c r="B599" s="20" t="s">
        <v>90</v>
      </c>
      <c r="C599" s="20" t="s">
        <v>67</v>
      </c>
      <c r="D599" s="21">
        <f>SE!K60</f>
        <v>0</v>
      </c>
    </row>
    <row r="600" spans="1:4" hidden="1" x14ac:dyDescent="0.25">
      <c r="A600" s="19">
        <f>SE!L$1</f>
        <v>45900</v>
      </c>
      <c r="B600" s="20" t="s">
        <v>90</v>
      </c>
      <c r="C600" s="20" t="s">
        <v>67</v>
      </c>
      <c r="D600" s="21">
        <f>SE!L60</f>
        <v>0</v>
      </c>
    </row>
    <row r="601" spans="1:4" hidden="1" x14ac:dyDescent="0.25">
      <c r="A601" s="19">
        <f>SE!M$1</f>
        <v>45930</v>
      </c>
      <c r="B601" s="20" t="s">
        <v>90</v>
      </c>
      <c r="C601" s="20" t="s">
        <v>67</v>
      </c>
      <c r="D601" s="21">
        <f>SE!M60</f>
        <v>0</v>
      </c>
    </row>
    <row r="602" spans="1:4" hidden="1" x14ac:dyDescent="0.25">
      <c r="A602" s="19">
        <f>SE!B$1</f>
        <v>45596</v>
      </c>
      <c r="B602" s="20" t="s">
        <v>90</v>
      </c>
      <c r="C602" s="20" t="s">
        <v>68</v>
      </c>
      <c r="D602" s="21">
        <f>SE!B61</f>
        <v>25.78471</v>
      </c>
    </row>
    <row r="603" spans="1:4" hidden="1" x14ac:dyDescent="0.25">
      <c r="A603" s="19">
        <f>SE!C$1</f>
        <v>45626</v>
      </c>
      <c r="B603" s="20" t="s">
        <v>90</v>
      </c>
      <c r="C603" s="20" t="s">
        <v>68</v>
      </c>
      <c r="D603" s="21">
        <f>SE!C61</f>
        <v>23.523820000000001</v>
      </c>
    </row>
    <row r="604" spans="1:4" hidden="1" x14ac:dyDescent="0.25">
      <c r="A604" s="19">
        <f>SE!D$1</f>
        <v>45657</v>
      </c>
      <c r="B604" s="20" t="s">
        <v>90</v>
      </c>
      <c r="C604" s="20" t="s">
        <v>68</v>
      </c>
      <c r="D604" s="21">
        <f>SE!D61</f>
        <v>21.988969999999998</v>
      </c>
    </row>
    <row r="605" spans="1:4" hidden="1" x14ac:dyDescent="0.25">
      <c r="A605" s="19">
        <f>SE!E$1</f>
        <v>45688</v>
      </c>
      <c r="B605" s="20" t="s">
        <v>90</v>
      </c>
      <c r="C605" s="20" t="s">
        <v>68</v>
      </c>
      <c r="D605" s="21">
        <f>SE!E61</f>
        <v>22.522449999999999</v>
      </c>
    </row>
    <row r="606" spans="1:4" hidden="1" x14ac:dyDescent="0.25">
      <c r="A606" s="19">
        <f>SE!F$1</f>
        <v>45716</v>
      </c>
      <c r="B606" s="20" t="s">
        <v>90</v>
      </c>
      <c r="C606" s="20" t="s">
        <v>68</v>
      </c>
      <c r="D606" s="21">
        <f>SE!F61</f>
        <v>12.73836</v>
      </c>
    </row>
    <row r="607" spans="1:4" hidden="1" x14ac:dyDescent="0.25">
      <c r="A607" s="19">
        <f>SE!G$1</f>
        <v>45747</v>
      </c>
      <c r="B607" s="20" t="s">
        <v>90</v>
      </c>
      <c r="C607" s="20" t="s">
        <v>68</v>
      </c>
      <c r="D607" s="21">
        <f>SE!G61</f>
        <v>17.38259</v>
      </c>
    </row>
    <row r="608" spans="1:4" hidden="1" x14ac:dyDescent="0.25">
      <c r="A608" s="19">
        <f>SE!H$1</f>
        <v>45777</v>
      </c>
      <c r="B608" s="20" t="s">
        <v>90</v>
      </c>
      <c r="C608" s="20" t="s">
        <v>68</v>
      </c>
      <c r="D608" s="21">
        <f>SE!H61</f>
        <v>17.789400000000001</v>
      </c>
    </row>
    <row r="609" spans="1:4" hidden="1" x14ac:dyDescent="0.25">
      <c r="A609" s="19">
        <f>SE!I$1</f>
        <v>45808</v>
      </c>
      <c r="B609" s="20" t="s">
        <v>90</v>
      </c>
      <c r="C609" s="20" t="s">
        <v>68</v>
      </c>
      <c r="D609" s="21">
        <f>SE!I61</f>
        <v>7.2201199999999996</v>
      </c>
    </row>
    <row r="610" spans="1:4" hidden="1" x14ac:dyDescent="0.25">
      <c r="A610" s="19">
        <f>SE!J$1</f>
        <v>45838</v>
      </c>
      <c r="B610" s="20" t="s">
        <v>90</v>
      </c>
      <c r="C610" s="20" t="s">
        <v>68</v>
      </c>
      <c r="D610" s="21">
        <f>SE!J61</f>
        <v>28.542359999999999</v>
      </c>
    </row>
    <row r="611" spans="1:4" hidden="1" x14ac:dyDescent="0.25">
      <c r="A611" s="19">
        <f>SE!K$1</f>
        <v>45869</v>
      </c>
      <c r="B611" s="20" t="s">
        <v>90</v>
      </c>
      <c r="C611" s="20" t="s">
        <v>68</v>
      </c>
      <c r="D611" s="21">
        <f>SE!K61</f>
        <v>0.15569</v>
      </c>
    </row>
    <row r="612" spans="1:4" hidden="1" x14ac:dyDescent="0.25">
      <c r="A612" s="19">
        <f>SE!L$1</f>
        <v>45900</v>
      </c>
      <c r="B612" s="20" t="s">
        <v>90</v>
      </c>
      <c r="C612" s="20" t="s">
        <v>68</v>
      </c>
      <c r="D612" s="21">
        <f>SE!L61</f>
        <v>17.82225</v>
      </c>
    </row>
    <row r="613" spans="1:4" hidden="1" x14ac:dyDescent="0.25">
      <c r="A613" s="19">
        <f>SE!M$1</f>
        <v>45930</v>
      </c>
      <c r="B613" s="20" t="s">
        <v>90</v>
      </c>
      <c r="C613" s="20" t="s">
        <v>68</v>
      </c>
      <c r="D613" s="21">
        <f>SE!M61</f>
        <v>18.092559999999999</v>
      </c>
    </row>
    <row r="614" spans="1:4" hidden="1" x14ac:dyDescent="0.25">
      <c r="A614" s="19">
        <f>SE!B$1</f>
        <v>45596</v>
      </c>
      <c r="B614" s="20" t="s">
        <v>90</v>
      </c>
      <c r="C614" s="20" t="s">
        <v>69</v>
      </c>
      <c r="D614" s="21">
        <f>SE!B62</f>
        <v>0.97143000000000002</v>
      </c>
    </row>
    <row r="615" spans="1:4" hidden="1" x14ac:dyDescent="0.25">
      <c r="A615" s="19">
        <f>SE!C$1</f>
        <v>45626</v>
      </c>
      <c r="B615" s="20" t="s">
        <v>90</v>
      </c>
      <c r="C615" s="20" t="s">
        <v>69</v>
      </c>
      <c r="D615" s="21">
        <f>SE!C62</f>
        <v>0.69264000000000003</v>
      </c>
    </row>
    <row r="616" spans="1:4" hidden="1" x14ac:dyDescent="0.25">
      <c r="A616" s="19">
        <f>SE!D$1</f>
        <v>45657</v>
      </c>
      <c r="B616" s="20" t="s">
        <v>90</v>
      </c>
      <c r="C616" s="20" t="s">
        <v>69</v>
      </c>
      <c r="D616" s="21">
        <f>SE!D62</f>
        <v>0.70282999999999995</v>
      </c>
    </row>
    <row r="617" spans="1:4" hidden="1" x14ac:dyDescent="0.25">
      <c r="A617" s="19">
        <f>SE!E$1</f>
        <v>45688</v>
      </c>
      <c r="B617" s="20" t="s">
        <v>90</v>
      </c>
      <c r="C617" s="20" t="s">
        <v>69</v>
      </c>
      <c r="D617" s="21">
        <f>SE!E62</f>
        <v>1.9571400000000001</v>
      </c>
    </row>
    <row r="618" spans="1:4" hidden="1" x14ac:dyDescent="0.25">
      <c r="A618" s="19">
        <f>SE!F$1</f>
        <v>45716</v>
      </c>
      <c r="B618" s="20" t="s">
        <v>90</v>
      </c>
      <c r="C618" s="20" t="s">
        <v>69</v>
      </c>
      <c r="D618" s="21">
        <f>SE!F62</f>
        <v>1.7587600000000001</v>
      </c>
    </row>
    <row r="619" spans="1:4" hidden="1" x14ac:dyDescent="0.25">
      <c r="A619" s="19">
        <f>SE!G$1</f>
        <v>45747</v>
      </c>
      <c r="B619" s="20" t="s">
        <v>90</v>
      </c>
      <c r="C619" s="20" t="s">
        <v>69</v>
      </c>
      <c r="D619" s="21">
        <f>SE!G62</f>
        <v>1.4852300000000001</v>
      </c>
    </row>
    <row r="620" spans="1:4" hidden="1" x14ac:dyDescent="0.25">
      <c r="A620" s="19">
        <f>SE!H$1</f>
        <v>45777</v>
      </c>
      <c r="B620" s="20" t="s">
        <v>90</v>
      </c>
      <c r="C620" s="20" t="s">
        <v>69</v>
      </c>
      <c r="D620" s="21">
        <f>SE!H62</f>
        <v>3.5655700000000001</v>
      </c>
    </row>
    <row r="621" spans="1:4" hidden="1" x14ac:dyDescent="0.25">
      <c r="A621" s="19">
        <f>SE!I$1</f>
        <v>45808</v>
      </c>
      <c r="B621" s="20" t="s">
        <v>90</v>
      </c>
      <c r="C621" s="20" t="s">
        <v>69</v>
      </c>
      <c r="D621" s="21">
        <f>SE!I62</f>
        <v>4.1360400000000004</v>
      </c>
    </row>
    <row r="622" spans="1:4" hidden="1" x14ac:dyDescent="0.25">
      <c r="A622" s="19">
        <f>SE!J$1</f>
        <v>45838</v>
      </c>
      <c r="B622" s="20" t="s">
        <v>90</v>
      </c>
      <c r="C622" s="20" t="s">
        <v>69</v>
      </c>
      <c r="D622" s="21">
        <f>SE!J62</f>
        <v>4.5698999999999996</v>
      </c>
    </row>
    <row r="623" spans="1:4" hidden="1" x14ac:dyDescent="0.25">
      <c r="A623" s="19">
        <f>SE!K$1</f>
        <v>45869</v>
      </c>
      <c r="B623" s="20" t="s">
        <v>90</v>
      </c>
      <c r="C623" s="20" t="s">
        <v>69</v>
      </c>
      <c r="D623" s="21">
        <f>SE!K62</f>
        <v>1.3743000000000001</v>
      </c>
    </row>
    <row r="624" spans="1:4" hidden="1" x14ac:dyDescent="0.25">
      <c r="A624" s="19">
        <f>SE!L$1</f>
        <v>45900</v>
      </c>
      <c r="B624" s="20" t="s">
        <v>90</v>
      </c>
      <c r="C624" s="20" t="s">
        <v>69</v>
      </c>
      <c r="D624" s="21">
        <f>SE!L62</f>
        <v>3.64202</v>
      </c>
    </row>
    <row r="625" spans="1:4" hidden="1" x14ac:dyDescent="0.25">
      <c r="A625" s="19">
        <f>SE!M$1</f>
        <v>45930</v>
      </c>
      <c r="B625" s="20" t="s">
        <v>90</v>
      </c>
      <c r="C625" s="20" t="s">
        <v>69</v>
      </c>
      <c r="D625" s="21">
        <f>SE!M62</f>
        <v>3.6467499999999999</v>
      </c>
    </row>
    <row r="626" spans="1:4" hidden="1" x14ac:dyDescent="0.25">
      <c r="A626" s="19">
        <f>SE!B$1</f>
        <v>45596</v>
      </c>
      <c r="B626" s="20" t="s">
        <v>90</v>
      </c>
      <c r="C626" s="20" t="s">
        <v>70</v>
      </c>
      <c r="D626" s="21">
        <f>SE!B63</f>
        <v>0</v>
      </c>
    </row>
    <row r="627" spans="1:4" hidden="1" x14ac:dyDescent="0.25">
      <c r="A627" s="19">
        <f>SE!C$1</f>
        <v>45626</v>
      </c>
      <c r="B627" s="20" t="s">
        <v>90</v>
      </c>
      <c r="C627" s="20" t="s">
        <v>70</v>
      </c>
      <c r="D627" s="21">
        <f>SE!C63</f>
        <v>0</v>
      </c>
    </row>
    <row r="628" spans="1:4" hidden="1" x14ac:dyDescent="0.25">
      <c r="A628" s="19">
        <f>SE!D$1</f>
        <v>45657</v>
      </c>
      <c r="B628" s="20" t="s">
        <v>90</v>
      </c>
      <c r="C628" s="20" t="s">
        <v>70</v>
      </c>
      <c r="D628" s="21">
        <f>SE!D63</f>
        <v>0</v>
      </c>
    </row>
    <row r="629" spans="1:4" hidden="1" x14ac:dyDescent="0.25">
      <c r="A629" s="19">
        <f>SE!E$1</f>
        <v>45688</v>
      </c>
      <c r="B629" s="20" t="s">
        <v>90</v>
      </c>
      <c r="C629" s="20" t="s">
        <v>70</v>
      </c>
      <c r="D629" s="21">
        <f>SE!E63</f>
        <v>0</v>
      </c>
    </row>
    <row r="630" spans="1:4" hidden="1" x14ac:dyDescent="0.25">
      <c r="A630" s="19">
        <f>SE!F$1</f>
        <v>45716</v>
      </c>
      <c r="B630" s="20" t="s">
        <v>90</v>
      </c>
      <c r="C630" s="20" t="s">
        <v>70</v>
      </c>
      <c r="D630" s="21">
        <f>SE!F63</f>
        <v>0</v>
      </c>
    </row>
    <row r="631" spans="1:4" hidden="1" x14ac:dyDescent="0.25">
      <c r="A631" s="19">
        <f>SE!G$1</f>
        <v>45747</v>
      </c>
      <c r="B631" s="20" t="s">
        <v>90</v>
      </c>
      <c r="C631" s="20" t="s">
        <v>70</v>
      </c>
      <c r="D631" s="21">
        <f>SE!G63</f>
        <v>0</v>
      </c>
    </row>
    <row r="632" spans="1:4" hidden="1" x14ac:dyDescent="0.25">
      <c r="A632" s="19">
        <f>SE!H$1</f>
        <v>45777</v>
      </c>
      <c r="B632" s="20" t="s">
        <v>90</v>
      </c>
      <c r="C632" s="20" t="s">
        <v>70</v>
      </c>
      <c r="D632" s="21">
        <f>SE!H63</f>
        <v>0</v>
      </c>
    </row>
    <row r="633" spans="1:4" hidden="1" x14ac:dyDescent="0.25">
      <c r="A633" s="19">
        <f>SE!I$1</f>
        <v>45808</v>
      </c>
      <c r="B633" s="20" t="s">
        <v>90</v>
      </c>
      <c r="C633" s="20" t="s">
        <v>70</v>
      </c>
      <c r="D633" s="21">
        <f>SE!I63</f>
        <v>0</v>
      </c>
    </row>
    <row r="634" spans="1:4" hidden="1" x14ac:dyDescent="0.25">
      <c r="A634" s="19">
        <f>SE!J$1</f>
        <v>45838</v>
      </c>
      <c r="B634" s="20" t="s">
        <v>90</v>
      </c>
      <c r="C634" s="20" t="s">
        <v>70</v>
      </c>
      <c r="D634" s="21">
        <f>SE!J63</f>
        <v>0</v>
      </c>
    </row>
    <row r="635" spans="1:4" hidden="1" x14ac:dyDescent="0.25">
      <c r="A635" s="19">
        <f>SE!K$1</f>
        <v>45869</v>
      </c>
      <c r="B635" s="20" t="s">
        <v>90</v>
      </c>
      <c r="C635" s="20" t="s">
        <v>70</v>
      </c>
      <c r="D635" s="21">
        <f>SE!K63</f>
        <v>0</v>
      </c>
    </row>
    <row r="636" spans="1:4" hidden="1" x14ac:dyDescent="0.25">
      <c r="A636" s="19">
        <f>SE!L$1</f>
        <v>45900</v>
      </c>
      <c r="B636" s="20" t="s">
        <v>90</v>
      </c>
      <c r="C636" s="20" t="s">
        <v>70</v>
      </c>
      <c r="D636" s="21">
        <f>SE!L63</f>
        <v>0</v>
      </c>
    </row>
    <row r="637" spans="1:4" hidden="1" x14ac:dyDescent="0.25">
      <c r="A637" s="19">
        <f>SE!M$1</f>
        <v>45930</v>
      </c>
      <c r="B637" s="20" t="s">
        <v>90</v>
      </c>
      <c r="C637" s="20" t="s">
        <v>70</v>
      </c>
      <c r="D637" s="21">
        <f>SE!M63</f>
        <v>0</v>
      </c>
    </row>
    <row r="638" spans="1:4" hidden="1" x14ac:dyDescent="0.25">
      <c r="A638" s="19">
        <f>SE!B$1</f>
        <v>45596</v>
      </c>
      <c r="B638" s="20" t="s">
        <v>90</v>
      </c>
      <c r="C638" s="20" t="s">
        <v>71</v>
      </c>
      <c r="D638" s="21">
        <f>SE!B64</f>
        <v>0.10826</v>
      </c>
    </row>
    <row r="639" spans="1:4" hidden="1" x14ac:dyDescent="0.25">
      <c r="A639" s="19">
        <f>SE!C$1</f>
        <v>45626</v>
      </c>
      <c r="B639" s="20" t="s">
        <v>90</v>
      </c>
      <c r="C639" s="20" t="s">
        <v>71</v>
      </c>
      <c r="D639" s="21">
        <f>SE!C64</f>
        <v>0</v>
      </c>
    </row>
    <row r="640" spans="1:4" hidden="1" x14ac:dyDescent="0.25">
      <c r="A640" s="19">
        <f>SE!D$1</f>
        <v>45657</v>
      </c>
      <c r="B640" s="20" t="s">
        <v>90</v>
      </c>
      <c r="C640" s="20" t="s">
        <v>71</v>
      </c>
      <c r="D640" s="21">
        <f>SE!D64</f>
        <v>0</v>
      </c>
    </row>
    <row r="641" spans="1:4" hidden="1" x14ac:dyDescent="0.25">
      <c r="A641" s="19">
        <f>SE!E$1</f>
        <v>45688</v>
      </c>
      <c r="B641" s="20" t="s">
        <v>90</v>
      </c>
      <c r="C641" s="20" t="s">
        <v>71</v>
      </c>
      <c r="D641" s="21">
        <f>SE!E64</f>
        <v>0</v>
      </c>
    </row>
    <row r="642" spans="1:4" hidden="1" x14ac:dyDescent="0.25">
      <c r="A642" s="19">
        <f>SE!F$1</f>
        <v>45716</v>
      </c>
      <c r="B642" s="20" t="s">
        <v>90</v>
      </c>
      <c r="C642" s="20" t="s">
        <v>71</v>
      </c>
      <c r="D642" s="21">
        <f>SE!F64</f>
        <v>0</v>
      </c>
    </row>
    <row r="643" spans="1:4" hidden="1" x14ac:dyDescent="0.25">
      <c r="A643" s="19">
        <f>SE!G$1</f>
        <v>45747</v>
      </c>
      <c r="B643" s="20" t="s">
        <v>90</v>
      </c>
      <c r="C643" s="20" t="s">
        <v>71</v>
      </c>
      <c r="D643" s="21">
        <f>SE!G64</f>
        <v>0</v>
      </c>
    </row>
    <row r="644" spans="1:4" hidden="1" x14ac:dyDescent="0.25">
      <c r="A644" s="19">
        <f>SE!H$1</f>
        <v>45777</v>
      </c>
      <c r="B644" s="20" t="s">
        <v>90</v>
      </c>
      <c r="C644" s="20" t="s">
        <v>71</v>
      </c>
      <c r="D644" s="21">
        <f>SE!H64</f>
        <v>0</v>
      </c>
    </row>
    <row r="645" spans="1:4" hidden="1" x14ac:dyDescent="0.25">
      <c r="A645" s="19">
        <f>SE!I$1</f>
        <v>45808</v>
      </c>
      <c r="B645" s="20" t="s">
        <v>90</v>
      </c>
      <c r="C645" s="20" t="s">
        <v>71</v>
      </c>
      <c r="D645" s="21">
        <f>SE!I64</f>
        <v>0</v>
      </c>
    </row>
    <row r="646" spans="1:4" hidden="1" x14ac:dyDescent="0.25">
      <c r="A646" s="19">
        <f>SE!J$1</f>
        <v>45838</v>
      </c>
      <c r="B646" s="20" t="s">
        <v>90</v>
      </c>
      <c r="C646" s="20" t="s">
        <v>71</v>
      </c>
      <c r="D646" s="21">
        <f>SE!J64</f>
        <v>0</v>
      </c>
    </row>
    <row r="647" spans="1:4" hidden="1" x14ac:dyDescent="0.25">
      <c r="A647" s="19">
        <f>SE!K$1</f>
        <v>45869</v>
      </c>
      <c r="B647" s="20" t="s">
        <v>90</v>
      </c>
      <c r="C647" s="20" t="s">
        <v>71</v>
      </c>
      <c r="D647" s="21">
        <f>SE!K64</f>
        <v>0</v>
      </c>
    </row>
    <row r="648" spans="1:4" hidden="1" x14ac:dyDescent="0.25">
      <c r="A648" s="19">
        <f>SE!L$1</f>
        <v>45900</v>
      </c>
      <c r="B648" s="20" t="s">
        <v>90</v>
      </c>
      <c r="C648" s="20" t="s">
        <v>71</v>
      </c>
      <c r="D648" s="21">
        <f>SE!L64</f>
        <v>0</v>
      </c>
    </row>
    <row r="649" spans="1:4" hidden="1" x14ac:dyDescent="0.25">
      <c r="A649" s="19">
        <f>SE!M$1</f>
        <v>45930</v>
      </c>
      <c r="B649" s="20" t="s">
        <v>90</v>
      </c>
      <c r="C649" s="20" t="s">
        <v>71</v>
      </c>
      <c r="D649" s="21">
        <f>SE!M64</f>
        <v>0</v>
      </c>
    </row>
    <row r="650" spans="1:4" hidden="1" x14ac:dyDescent="0.25">
      <c r="A650" s="19">
        <f>SE!B$1</f>
        <v>45596</v>
      </c>
      <c r="B650" s="20" t="s">
        <v>90</v>
      </c>
      <c r="C650" s="20" t="s">
        <v>72</v>
      </c>
      <c r="D650" s="21">
        <f>SE!B65</f>
        <v>516.13953000000004</v>
      </c>
    </row>
    <row r="651" spans="1:4" hidden="1" x14ac:dyDescent="0.25">
      <c r="A651" s="19">
        <f>SE!C$1</f>
        <v>45626</v>
      </c>
      <c r="B651" s="20" t="s">
        <v>90</v>
      </c>
      <c r="C651" s="20" t="s">
        <v>72</v>
      </c>
      <c r="D651" s="21">
        <f>SE!C65</f>
        <v>499.37995999999998</v>
      </c>
    </row>
    <row r="652" spans="1:4" hidden="1" x14ac:dyDescent="0.25">
      <c r="A652" s="19">
        <f>SE!D$1</f>
        <v>45657</v>
      </c>
      <c r="B652" s="20" t="s">
        <v>90</v>
      </c>
      <c r="C652" s="20" t="s">
        <v>72</v>
      </c>
      <c r="D652" s="21">
        <f>SE!D65</f>
        <v>539.12435000000005</v>
      </c>
    </row>
    <row r="653" spans="1:4" hidden="1" x14ac:dyDescent="0.25">
      <c r="A653" s="19">
        <f>SE!E$1</f>
        <v>45688</v>
      </c>
      <c r="B653" s="20" t="s">
        <v>90</v>
      </c>
      <c r="C653" s="20" t="s">
        <v>72</v>
      </c>
      <c r="D653" s="21">
        <f>SE!E65</f>
        <v>543.16949999999997</v>
      </c>
    </row>
    <row r="654" spans="1:4" hidden="1" x14ac:dyDescent="0.25">
      <c r="A654" s="19">
        <f>SE!F$1</f>
        <v>45716</v>
      </c>
      <c r="B654" s="20" t="s">
        <v>90</v>
      </c>
      <c r="C654" s="20" t="s">
        <v>72</v>
      </c>
      <c r="D654" s="21">
        <f>SE!F65</f>
        <v>443.61126999999999</v>
      </c>
    </row>
    <row r="655" spans="1:4" hidden="1" x14ac:dyDescent="0.25">
      <c r="A655" s="19">
        <f>SE!G$1</f>
        <v>45747</v>
      </c>
      <c r="B655" s="20" t="s">
        <v>90</v>
      </c>
      <c r="C655" s="20" t="s">
        <v>72</v>
      </c>
      <c r="D655" s="21">
        <f>SE!G65</f>
        <v>493.84852999999998</v>
      </c>
    </row>
    <row r="656" spans="1:4" hidden="1" x14ac:dyDescent="0.25">
      <c r="A656" s="19">
        <f>SE!H$1</f>
        <v>45777</v>
      </c>
      <c r="B656" s="20" t="s">
        <v>90</v>
      </c>
      <c r="C656" s="20" t="s">
        <v>72</v>
      </c>
      <c r="D656" s="21">
        <f>SE!H65</f>
        <v>465.56452000000002</v>
      </c>
    </row>
    <row r="657" spans="1:4" hidden="1" x14ac:dyDescent="0.25">
      <c r="A657" s="19">
        <f>SE!I$1</f>
        <v>45808</v>
      </c>
      <c r="B657" s="20" t="s">
        <v>90</v>
      </c>
      <c r="C657" s="20" t="s">
        <v>72</v>
      </c>
      <c r="D657" s="21">
        <f>SE!I65</f>
        <v>475.78442999999999</v>
      </c>
    </row>
    <row r="658" spans="1:4" hidden="1" x14ac:dyDescent="0.25">
      <c r="A658" s="19">
        <f>SE!J$1</f>
        <v>45838</v>
      </c>
      <c r="B658" s="20" t="s">
        <v>90</v>
      </c>
      <c r="C658" s="20" t="s">
        <v>72</v>
      </c>
      <c r="D658" s="21">
        <f>SE!J65</f>
        <v>554.92430000000002</v>
      </c>
    </row>
    <row r="659" spans="1:4" hidden="1" x14ac:dyDescent="0.25">
      <c r="A659" s="19">
        <f>SE!K$1</f>
        <v>45869</v>
      </c>
      <c r="B659" s="20" t="s">
        <v>90</v>
      </c>
      <c r="C659" s="20" t="s">
        <v>72</v>
      </c>
      <c r="D659" s="21">
        <f>SE!K65</f>
        <v>474.93563</v>
      </c>
    </row>
    <row r="660" spans="1:4" hidden="1" x14ac:dyDescent="0.25">
      <c r="A660" s="19">
        <f>SE!L$1</f>
        <v>45900</v>
      </c>
      <c r="B660" s="20" t="s">
        <v>90</v>
      </c>
      <c r="C660" s="20" t="s">
        <v>72</v>
      </c>
      <c r="D660" s="21">
        <f>SE!L65</f>
        <v>470.84057000000001</v>
      </c>
    </row>
    <row r="661" spans="1:4" hidden="1" x14ac:dyDescent="0.25">
      <c r="A661" s="19">
        <f>SE!M$1</f>
        <v>45930</v>
      </c>
      <c r="B661" s="20" t="s">
        <v>90</v>
      </c>
      <c r="C661" s="20" t="s">
        <v>72</v>
      </c>
      <c r="D661" s="21">
        <f>SE!M65</f>
        <v>484.87651</v>
      </c>
    </row>
  </sheetData>
  <autoFilter ref="A1:D661" xr:uid="{00000000-0009-0000-0000-000001000000}">
    <filterColumn colId="2">
      <filters>
        <filter val="Oil Differential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</vt:lpstr>
      <vt:lpstr>Sheet2</vt:lpstr>
      <vt:lpstr>PowerBI_Long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Roman</dc:creator>
  <dc:description/>
  <cp:lastModifiedBy>Oscar Roman</cp:lastModifiedBy>
  <cp:revision>0</cp:revision>
  <dcterms:created xsi:type="dcterms:W3CDTF">2026-05-20T17:37:14Z</dcterms:created>
  <dcterms:modified xsi:type="dcterms:W3CDTF">2026-05-20T19:47:26Z</dcterms:modified>
  <dc:language>en-US</dc:language>
</cp:coreProperties>
</file>